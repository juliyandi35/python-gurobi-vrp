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tspa\Documents\0.0.0.0.0.0 PGR ITS LEEDS_2023\1. Logistic - Wholesales Market Relocation\1. FFPR\8. Revision Meeting\"/>
    </mc:Choice>
  </mc:AlternateContent>
  <xr:revisionPtr revIDLastSave="0" documentId="8_{EF8C3308-512B-464A-BBC0-A25E2C659F57}" xr6:coauthVersionLast="47" xr6:coauthVersionMax="47" xr10:uidLastSave="{00000000-0000-0000-0000-000000000000}"/>
  <bookViews>
    <workbookView xWindow="-110" yWindow="-110" windowWidth="19420" windowHeight="10300" activeTab="1" xr2:uid="{DD329478-6DF3-484A-93DF-FF4634385DBF}"/>
  </bookViews>
  <sheets>
    <sheet name="Data" sheetId="1" r:id="rId1"/>
    <sheet name="VRP" sheetId="3" r:id="rId2"/>
    <sheet name="Constraints" sheetId="5" r:id="rId3"/>
  </sheets>
  <definedNames>
    <definedName name="solver_adj" localSheetId="1" hidden="1">VRP!$B$16:$AE$21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VRP!$AA$26:$AE$26</definedName>
    <definedName name="solver_lhs10" localSheetId="1" hidden="1">VRP!$C$26:$G$26</definedName>
    <definedName name="solver_lhs11" localSheetId="1" hidden="1">VRP!$H$25</definedName>
    <definedName name="solver_lhs12" localSheetId="1" hidden="1">VRP!$H$32</definedName>
    <definedName name="solver_lhs13" localSheetId="1" hidden="1">VRP!$H$35</definedName>
    <definedName name="solver_lhs14" localSheetId="1" hidden="1">VRP!$H$38</definedName>
    <definedName name="solver_lhs15" localSheetId="1" hidden="1">VRP!$I$26:$M$26</definedName>
    <definedName name="solver_lhs16" localSheetId="1" hidden="1">VRP!$N$25</definedName>
    <definedName name="solver_lhs17" localSheetId="1" hidden="1">VRP!$N$32</definedName>
    <definedName name="solver_lhs18" localSheetId="1" hidden="1">VRP!$N$35</definedName>
    <definedName name="solver_lhs19" localSheetId="1" hidden="1">VRP!$N$38</definedName>
    <definedName name="solver_lhs2" localSheetId="1" hidden="1">VRP!$AF$17:$AF$21</definedName>
    <definedName name="solver_lhs20" localSheetId="1" hidden="1">VRP!$O$26:$S$26</definedName>
    <definedName name="solver_lhs21" localSheetId="1" hidden="1">VRP!$T$25</definedName>
    <definedName name="solver_lhs22" localSheetId="1" hidden="1">VRP!$T$32</definedName>
    <definedName name="solver_lhs23" localSheetId="1" hidden="1">VRP!$T$35</definedName>
    <definedName name="solver_lhs24" localSheetId="1" hidden="1">VRP!$T$38</definedName>
    <definedName name="solver_lhs25" localSheetId="1" hidden="1">VRP!$U$26:$Y$26</definedName>
    <definedName name="solver_lhs26" localSheetId="1" hidden="1">VRP!$Z$25</definedName>
    <definedName name="solver_lhs27" localSheetId="1" hidden="1">VRP!$Z$32</definedName>
    <definedName name="solver_lhs28" localSheetId="1" hidden="1">VRP!$Z$35</definedName>
    <definedName name="solver_lhs29" localSheetId="1" hidden="1">VRP!$Z$38</definedName>
    <definedName name="solver_lhs3" localSheetId="1" hidden="1">VRP!$AG$16:$AK$16</definedName>
    <definedName name="solver_lhs30" localSheetId="1" hidden="1">VRP!$Z$36</definedName>
    <definedName name="solver_lhs4" localSheetId="1" hidden="1">VRP!$B$16:$AE$21</definedName>
    <definedName name="solver_lhs5" localSheetId="1" hidden="1">VRP!$B$25</definedName>
    <definedName name="solver_lhs6" localSheetId="1" hidden="1">VRP!$B$28:$AE$28</definedName>
    <definedName name="solver_lhs7" localSheetId="1" hidden="1">VRP!$B$32</definedName>
    <definedName name="solver_lhs8" localSheetId="1" hidden="1">VRP!$B$35</definedName>
    <definedName name="solver_lhs9" localSheetId="1" hidden="1">VRP!$B$38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29</definedName>
    <definedName name="solver_nwt" localSheetId="1" hidden="1">1</definedName>
    <definedName name="solver_opt" localSheetId="1" hidden="1">VRP!$B$46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10" localSheetId="1" hidden="1">2</definedName>
    <definedName name="solver_rel11" localSheetId="1" hidden="1">1</definedName>
    <definedName name="solver_rel12" localSheetId="1" hidden="1">1</definedName>
    <definedName name="solver_rel13" localSheetId="1" hidden="1">1</definedName>
    <definedName name="solver_rel14" localSheetId="1" hidden="1">1</definedName>
    <definedName name="solver_rel15" localSheetId="1" hidden="1">2</definedName>
    <definedName name="solver_rel16" localSheetId="1" hidden="1">1</definedName>
    <definedName name="solver_rel17" localSheetId="1" hidden="1">1</definedName>
    <definedName name="solver_rel18" localSheetId="1" hidden="1">1</definedName>
    <definedName name="solver_rel19" localSheetId="1" hidden="1">1</definedName>
    <definedName name="solver_rel2" localSheetId="1" hidden="1">2</definedName>
    <definedName name="solver_rel20" localSheetId="1" hidden="1">2</definedName>
    <definedName name="solver_rel21" localSheetId="1" hidden="1">1</definedName>
    <definedName name="solver_rel22" localSheetId="1" hidden="1">1</definedName>
    <definedName name="solver_rel23" localSheetId="1" hidden="1">1</definedName>
    <definedName name="solver_rel24" localSheetId="1" hidden="1">1</definedName>
    <definedName name="solver_rel25" localSheetId="1" hidden="1">2</definedName>
    <definedName name="solver_rel26" localSheetId="1" hidden="1">1</definedName>
    <definedName name="solver_rel27" localSheetId="1" hidden="1">1</definedName>
    <definedName name="solver_rel28" localSheetId="1" hidden="1">1</definedName>
    <definedName name="solver_rel29" localSheetId="1" hidden="1">1</definedName>
    <definedName name="solver_rel3" localSheetId="1" hidden="1">2</definedName>
    <definedName name="solver_rel30" localSheetId="1" hidden="1">1</definedName>
    <definedName name="solver_rel4" localSheetId="1" hidden="1">5</definedName>
    <definedName name="solver_rel5" localSheetId="1" hidden="1">1</definedName>
    <definedName name="solver_rel6" localSheetId="1" hidden="1">2</definedName>
    <definedName name="solver_rel7" localSheetId="1" hidden="1">1</definedName>
    <definedName name="solver_rel8" localSheetId="1" hidden="1">1</definedName>
    <definedName name="solver_rel9" localSheetId="1" hidden="1">1</definedName>
    <definedName name="solver_rhs1" localSheetId="1" hidden="1">VRP!$AA$27:$AE$27</definedName>
    <definedName name="solver_rhs10" localSheetId="1" hidden="1">VRP!$C$27:$G$27</definedName>
    <definedName name="solver_rhs11" localSheetId="1" hidden="1">VRP!$H$9</definedName>
    <definedName name="solver_rhs12" localSheetId="1" hidden="1">VRP!$AG$11</definedName>
    <definedName name="solver_rhs13" localSheetId="1" hidden="1">VRP!$AG$12</definedName>
    <definedName name="solver_rhs14" localSheetId="1" hidden="1">VRP!$AG$13</definedName>
    <definedName name="solver_rhs15" localSheetId="1" hidden="1">VRP!$I$27:$M$27</definedName>
    <definedName name="solver_rhs16" localSheetId="1" hidden="1">VRP!$N$9</definedName>
    <definedName name="solver_rhs17" localSheetId="1" hidden="1">VRP!$AG$11</definedName>
    <definedName name="solver_rhs18" localSheetId="1" hidden="1">VRP!$AG$12</definedName>
    <definedName name="solver_rhs19" localSheetId="1" hidden="1">VRP!$AG$13</definedName>
    <definedName name="solver_rhs2" localSheetId="1" hidden="1">1</definedName>
    <definedName name="solver_rhs20" localSheetId="1" hidden="1">VRP!$O$27:$S$27</definedName>
    <definedName name="solver_rhs21" localSheetId="1" hidden="1">VRP!$T$9</definedName>
    <definedName name="solver_rhs22" localSheetId="1" hidden="1">VRP!$AG$11</definedName>
    <definedName name="solver_rhs23" localSheetId="1" hidden="1">VRP!$AG$12</definedName>
    <definedName name="solver_rhs24" localSheetId="1" hidden="1">VRP!$AG$13</definedName>
    <definedName name="solver_rhs25" localSheetId="1" hidden="1">VRP!$U$27:$Y$27</definedName>
    <definedName name="solver_rhs26" localSheetId="1" hidden="1">VRP!$Z$9</definedName>
    <definedName name="solver_rhs27" localSheetId="1" hidden="1">VRP!$AG$11</definedName>
    <definedName name="solver_rhs28" localSheetId="1" hidden="1">VRP!$AG$12</definedName>
    <definedName name="solver_rhs29" localSheetId="1" hidden="1">VRP!$AG$13</definedName>
    <definedName name="solver_rhs3" localSheetId="1" hidden="1">1</definedName>
    <definedName name="solver_rhs30" localSheetId="1" hidden="1">VRP!$Z$13</definedName>
    <definedName name="solver_rhs4" localSheetId="1" hidden="1">"binary"</definedName>
    <definedName name="solver_rhs5" localSheetId="1" hidden="1">VRP!$C$9</definedName>
    <definedName name="solver_rhs6" localSheetId="1" hidden="1">0</definedName>
    <definedName name="solver_rhs7" localSheetId="1" hidden="1">VRP!$AG$11</definedName>
    <definedName name="solver_rhs8" localSheetId="1" hidden="1">VRP!$AG$12</definedName>
    <definedName name="solver_rhs9" localSheetId="1" hidden="1">VRP!$AG$13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6" i="3" l="1"/>
  <c r="AE37" i="3"/>
  <c r="AD36" i="3"/>
  <c r="AD37" i="3"/>
  <c r="AC36" i="3"/>
  <c r="AC37" i="3"/>
  <c r="AB36" i="3"/>
  <c r="AB37" i="3"/>
  <c r="AA36" i="3"/>
  <c r="AA37" i="3"/>
  <c r="Z36" i="3"/>
  <c r="Z37" i="3"/>
  <c r="Y36" i="3"/>
  <c r="Y37" i="3"/>
  <c r="X36" i="3"/>
  <c r="X37" i="3"/>
  <c r="W36" i="3"/>
  <c r="W37" i="3"/>
  <c r="V36" i="3"/>
  <c r="V37" i="3"/>
  <c r="U36" i="3"/>
  <c r="U37" i="3"/>
  <c r="T36" i="3"/>
  <c r="T37" i="3"/>
  <c r="S36" i="3"/>
  <c r="S37" i="3"/>
  <c r="R36" i="3"/>
  <c r="R37" i="3"/>
  <c r="Q36" i="3"/>
  <c r="Q37" i="3"/>
  <c r="P36" i="3"/>
  <c r="P37" i="3"/>
  <c r="O36" i="3"/>
  <c r="O37" i="3"/>
  <c r="N36" i="3"/>
  <c r="N37" i="3"/>
  <c r="M36" i="3"/>
  <c r="M37" i="3"/>
  <c r="L36" i="3"/>
  <c r="L37" i="3"/>
  <c r="K36" i="3"/>
  <c r="K37" i="3"/>
  <c r="J36" i="3"/>
  <c r="J37" i="3"/>
  <c r="I36" i="3"/>
  <c r="I37" i="3"/>
  <c r="H36" i="3"/>
  <c r="H37" i="3"/>
  <c r="G36" i="3"/>
  <c r="G37" i="3"/>
  <c r="F36" i="3"/>
  <c r="F37" i="3"/>
  <c r="E36" i="3"/>
  <c r="E37" i="3"/>
  <c r="D36" i="3"/>
  <c r="D37" i="3"/>
  <c r="C36" i="3"/>
  <c r="C37" i="3"/>
  <c r="B36" i="3"/>
  <c r="B37" i="3"/>
  <c r="AE33" i="3"/>
  <c r="AE34" i="3"/>
  <c r="AD33" i="3"/>
  <c r="AD34" i="3"/>
  <c r="AC33" i="3"/>
  <c r="AC34" i="3"/>
  <c r="AB33" i="3"/>
  <c r="AB34" i="3"/>
  <c r="AA33" i="3"/>
  <c r="AA34" i="3"/>
  <c r="Z33" i="3"/>
  <c r="Z34" i="3"/>
  <c r="Y33" i="3"/>
  <c r="Y34" i="3"/>
  <c r="X33" i="3"/>
  <c r="X34" i="3"/>
  <c r="W33" i="3"/>
  <c r="W34" i="3"/>
  <c r="V33" i="3"/>
  <c r="V34" i="3"/>
  <c r="U33" i="3"/>
  <c r="U34" i="3"/>
  <c r="T33" i="3"/>
  <c r="T34" i="3"/>
  <c r="S33" i="3"/>
  <c r="S34" i="3"/>
  <c r="R33" i="3"/>
  <c r="R34" i="3"/>
  <c r="Q33" i="3"/>
  <c r="Q34" i="3"/>
  <c r="P33" i="3"/>
  <c r="P34" i="3"/>
  <c r="O33" i="3"/>
  <c r="O34" i="3"/>
  <c r="N33" i="3"/>
  <c r="N34" i="3"/>
  <c r="M33" i="3"/>
  <c r="M34" i="3"/>
  <c r="L33" i="3"/>
  <c r="L34" i="3"/>
  <c r="K33" i="3"/>
  <c r="K34" i="3"/>
  <c r="J33" i="3"/>
  <c r="J34" i="3"/>
  <c r="I33" i="3"/>
  <c r="I34" i="3"/>
  <c r="H33" i="3"/>
  <c r="H34" i="3"/>
  <c r="G33" i="3"/>
  <c r="G34" i="3"/>
  <c r="F33" i="3"/>
  <c r="F34" i="3"/>
  <c r="E33" i="3"/>
  <c r="E34" i="3"/>
  <c r="D33" i="3"/>
  <c r="D34" i="3"/>
  <c r="C33" i="3"/>
  <c r="C34" i="3"/>
  <c r="B33" i="3"/>
  <c r="B34" i="3"/>
  <c r="AE30" i="3"/>
  <c r="AE31" i="3"/>
  <c r="AD30" i="3"/>
  <c r="AD31" i="3"/>
  <c r="AC30" i="3"/>
  <c r="AC31" i="3"/>
  <c r="AB30" i="3"/>
  <c r="AB31" i="3"/>
  <c r="AA30" i="3"/>
  <c r="AA31" i="3"/>
  <c r="Z30" i="3"/>
  <c r="Z31" i="3"/>
  <c r="Y30" i="3"/>
  <c r="Y31" i="3"/>
  <c r="X30" i="3"/>
  <c r="X31" i="3"/>
  <c r="W30" i="3"/>
  <c r="W31" i="3"/>
  <c r="V30" i="3"/>
  <c r="V31" i="3"/>
  <c r="U30" i="3"/>
  <c r="U31" i="3"/>
  <c r="T30" i="3"/>
  <c r="T31" i="3"/>
  <c r="S30" i="3"/>
  <c r="S31" i="3"/>
  <c r="R30" i="3"/>
  <c r="R31" i="3"/>
  <c r="Q30" i="3"/>
  <c r="Q31" i="3"/>
  <c r="P30" i="3"/>
  <c r="P31" i="3"/>
  <c r="O30" i="3"/>
  <c r="O31" i="3"/>
  <c r="N30" i="3"/>
  <c r="N31" i="3"/>
  <c r="M30" i="3"/>
  <c r="M31" i="3"/>
  <c r="L30" i="3"/>
  <c r="L31" i="3"/>
  <c r="K30" i="3"/>
  <c r="K31" i="3"/>
  <c r="J30" i="3"/>
  <c r="J31" i="3"/>
  <c r="I30" i="3"/>
  <c r="I31" i="3"/>
  <c r="H30" i="3"/>
  <c r="H31" i="3"/>
  <c r="C30" i="3"/>
  <c r="C31" i="3"/>
  <c r="D30" i="3"/>
  <c r="D31" i="3"/>
  <c r="E30" i="3"/>
  <c r="E31" i="3"/>
  <c r="F30" i="3"/>
  <c r="F31" i="3"/>
  <c r="G30" i="3"/>
  <c r="G31" i="3"/>
  <c r="B23" i="3"/>
  <c r="B24" i="3"/>
  <c r="B30" i="3"/>
  <c r="B31" i="3"/>
  <c r="AK16" i="3"/>
  <c r="AG16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E27" i="3"/>
  <c r="AD27" i="3"/>
  <c r="AC27" i="3"/>
  <c r="AB27" i="3"/>
  <c r="AA27" i="3"/>
  <c r="Y27" i="3"/>
  <c r="X27" i="3"/>
  <c r="W27" i="3"/>
  <c r="V27" i="3"/>
  <c r="U27" i="3"/>
  <c r="S27" i="3"/>
  <c r="R27" i="3"/>
  <c r="Q27" i="3"/>
  <c r="P27" i="3"/>
  <c r="O27" i="3"/>
  <c r="M27" i="3"/>
  <c r="AE26" i="3"/>
  <c r="AD26" i="3"/>
  <c r="AC26" i="3"/>
  <c r="AB26" i="3"/>
  <c r="AA26" i="3"/>
  <c r="Y26" i="3"/>
  <c r="X26" i="3"/>
  <c r="W26" i="3"/>
  <c r="V26" i="3"/>
  <c r="U26" i="3"/>
  <c r="S26" i="3"/>
  <c r="R26" i="3"/>
  <c r="Q26" i="3"/>
  <c r="P26" i="3"/>
  <c r="O26" i="3"/>
  <c r="L27" i="3"/>
  <c r="K27" i="3"/>
  <c r="J27" i="3"/>
  <c r="I27" i="3"/>
  <c r="C27" i="3"/>
  <c r="K26" i="3"/>
  <c r="J26" i="3"/>
  <c r="I26" i="3"/>
  <c r="G27" i="3"/>
  <c r="M26" i="3"/>
  <c r="L26" i="3"/>
  <c r="F27" i="3"/>
  <c r="E27" i="3"/>
  <c r="D27" i="3"/>
  <c r="D26" i="3"/>
  <c r="E26" i="3"/>
  <c r="F26" i="3"/>
  <c r="G26" i="3"/>
  <c r="C26" i="3"/>
  <c r="AJ16" i="3"/>
  <c r="AI16" i="3"/>
  <c r="AH16" i="3"/>
  <c r="AE23" i="3"/>
  <c r="AE24" i="3"/>
  <c r="AD23" i="3"/>
  <c r="AD24" i="3"/>
  <c r="AC23" i="3"/>
  <c r="AC24" i="3"/>
  <c r="AB23" i="3"/>
  <c r="AB24" i="3"/>
  <c r="AA23" i="3"/>
  <c r="AA24" i="3"/>
  <c r="Z23" i="3"/>
  <c r="Z24" i="3"/>
  <c r="Y23" i="3"/>
  <c r="Y24" i="3"/>
  <c r="X23" i="3"/>
  <c r="X24" i="3"/>
  <c r="W23" i="3"/>
  <c r="W24" i="3"/>
  <c r="V23" i="3"/>
  <c r="V24" i="3"/>
  <c r="U23" i="3"/>
  <c r="U24" i="3"/>
  <c r="T23" i="3"/>
  <c r="T24" i="3"/>
  <c r="S23" i="3"/>
  <c r="S24" i="3"/>
  <c r="R23" i="3"/>
  <c r="R24" i="3"/>
  <c r="Q23" i="3"/>
  <c r="Q24" i="3"/>
  <c r="P23" i="3"/>
  <c r="P24" i="3"/>
  <c r="O23" i="3"/>
  <c r="O24" i="3"/>
  <c r="N23" i="3"/>
  <c r="N24" i="3"/>
  <c r="M23" i="3"/>
  <c r="M24" i="3"/>
  <c r="L23" i="3"/>
  <c r="L24" i="3"/>
  <c r="K23" i="3"/>
  <c r="K24" i="3"/>
  <c r="J23" i="3"/>
  <c r="J24" i="3"/>
  <c r="I23" i="3"/>
  <c r="I24" i="3"/>
  <c r="H23" i="3"/>
  <c r="H24" i="3"/>
  <c r="G23" i="3"/>
  <c r="G24" i="3"/>
  <c r="C23" i="3"/>
  <c r="C24" i="3"/>
  <c r="D23" i="3"/>
  <c r="D24" i="3"/>
  <c r="E23" i="3"/>
  <c r="E24" i="3"/>
  <c r="F23" i="3"/>
  <c r="F24" i="3"/>
  <c r="AF21" i="3"/>
  <c r="AF18" i="3"/>
  <c r="AF19" i="3"/>
  <c r="AF20" i="3"/>
  <c r="AF17" i="3"/>
  <c r="B46" i="3"/>
  <c r="B35" i="3"/>
  <c r="T38" i="3"/>
  <c r="B38" i="3"/>
  <c r="Z38" i="3"/>
  <c r="N38" i="3"/>
  <c r="H38" i="3"/>
  <c r="H35" i="3"/>
  <c r="Z35" i="3"/>
  <c r="T35" i="3"/>
  <c r="N35" i="3"/>
  <c r="B32" i="3"/>
  <c r="Z32" i="3"/>
  <c r="T32" i="3"/>
  <c r="N32" i="3"/>
  <c r="H32" i="3"/>
  <c r="H25" i="3"/>
  <c r="Z25" i="3"/>
  <c r="N25" i="3"/>
  <c r="B25" i="3"/>
  <c r="T25" i="3"/>
</calcChain>
</file>

<file path=xl/sharedStrings.xml><?xml version="1.0" encoding="utf-8"?>
<sst xmlns="http://schemas.openxmlformats.org/spreadsheetml/2006/main" count="168" uniqueCount="46">
  <si>
    <t>C1</t>
  </si>
  <si>
    <t>C2</t>
  </si>
  <si>
    <t>C3</t>
  </si>
  <si>
    <t>C4</t>
  </si>
  <si>
    <t>C5</t>
  </si>
  <si>
    <t>route 1</t>
  </si>
  <si>
    <t>route 2</t>
  </si>
  <si>
    <t>route 3</t>
  </si>
  <si>
    <t>route 4</t>
  </si>
  <si>
    <t>route 5</t>
  </si>
  <si>
    <t>C0</t>
  </si>
  <si>
    <t>Z</t>
  </si>
  <si>
    <t>Capacity</t>
  </si>
  <si>
    <t>K2</t>
  </si>
  <si>
    <t>R1</t>
  </si>
  <si>
    <t>R2</t>
  </si>
  <si>
    <t>R3</t>
  </si>
  <si>
    <t>R4</t>
  </si>
  <si>
    <t>R5</t>
  </si>
  <si>
    <t>K3</t>
  </si>
  <si>
    <t>DEMAND</t>
  </si>
  <si>
    <t>K4</t>
  </si>
  <si>
    <t>K5</t>
  </si>
  <si>
    <t>K6</t>
  </si>
  <si>
    <t>time</t>
  </si>
  <si>
    <t>Vmax</t>
  </si>
  <si>
    <t>K7</t>
  </si>
  <si>
    <t>S</t>
  </si>
  <si>
    <t>k1</t>
  </si>
  <si>
    <t>BINARY</t>
  </si>
  <si>
    <t>K8</t>
  </si>
  <si>
    <t>MAX TIME</t>
  </si>
  <si>
    <t>VMAX</t>
  </si>
  <si>
    <t>K9</t>
  </si>
  <si>
    <t xml:space="preserve">Route 1 </t>
  </si>
  <si>
    <t>C0-C3-C0</t>
  </si>
  <si>
    <t>Route 2</t>
  </si>
  <si>
    <t>C0-C2-C0</t>
  </si>
  <si>
    <t>Route 3</t>
  </si>
  <si>
    <t>C0-C1-C0</t>
  </si>
  <si>
    <t>Route 4</t>
  </si>
  <si>
    <t>C0-C5-C0</t>
  </si>
  <si>
    <t>Route 5</t>
  </si>
  <si>
    <t>C0-C4-C0</t>
  </si>
  <si>
    <t>hours</t>
  </si>
  <si>
    <t>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</si>
</sst>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2" borderId="1" xfId="0" applyFill="1" applyBorder="1"/>
    <xf numFmtId="0" fontId="0" fillId="2" borderId="0" xfId="0" applyFill="1" applyBorder="1"/>
    <xf numFmtId="0" fontId="0" fillId="0" borderId="0" xfId="0" applyFill="1" applyBorder="1"/>
    <xf numFmtId="0" fontId="0" fillId="0" borderId="1" xfId="0" applyFill="1" applyBorder="1"/>
    <xf numFmtId="0" fontId="3" fillId="3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0" fillId="0" borderId="2" xfId="0" applyFill="1" applyBorder="1"/>
    <xf numFmtId="0" fontId="1" fillId="2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1" fillId="4" borderId="0" xfId="0" applyFont="1" applyFill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12700</xdr:colOff>
      <xdr:row>47</xdr:row>
      <xdr:rowOff>6350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1677F16-83E8-4A0B-98A8-26FADFD46192}"/>
                </a:ext>
              </a:extLst>
            </xdr:cNvPr>
            <xdr:cNvSpPr txBox="1"/>
          </xdr:nvSpPr>
          <xdr:spPr>
            <a:xfrm>
              <a:off x="0" y="0"/>
              <a:ext cx="7937500" cy="86614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Objective : Minimize travel distance</a:t>
              </a:r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𝒁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𝒌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  <m:sup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</m:t>
                        </m:r>
                      </m:sup>
                      <m:e>
                        <m:nary>
                          <m:naryPr>
                            <m:chr m:val="∑"/>
                            <m:ctrlP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</m:sub>
                          <m:sup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𝒏</m:t>
                            </m:r>
                          </m:sup>
                          <m:e>
                            <m:nary>
                              <m:naryPr>
                                <m:chr m:val="∑"/>
                                <m:ctrlP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𝒋</m:t>
                                </m:r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=</m:t>
                                </m:r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</m:sub>
                              <m:sup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𝒏</m:t>
                                </m:r>
                              </m:sup>
                              <m:e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𝒅𝒊𝒋</m:t>
                                </m:r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</m:e>
                            </m:nary>
                          </m:e>
                        </m:nary>
                      </m:e>
                    </m:nary>
                    <m:sSubSup>
                      <m:sSubSupPr>
                        <m:ctrlP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𝒊𝒋</m:t>
                        </m:r>
                      </m:sub>
                      <m:sup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𝒌</m:t>
                        </m:r>
                      </m:sup>
                    </m:sSubSup>
                  </m:oMath>
                </m:oMathPara>
              </a14:m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Constraints and Mathematic Model</a:t>
              </a:r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0"/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K1. Each customer can only be visited exactly once.</a:t>
              </a:r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ctrlP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𝒌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  <m:sup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</m:t>
                        </m:r>
                      </m:sup>
                      <m:e>
                        <m:nary>
                          <m:naryPr>
                            <m:chr m:val="∑"/>
                            <m:ctrlP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</m:sub>
                          <m:sup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𝒏</m:t>
                            </m:r>
                          </m:sup>
                          <m:e>
                            <m:sSubSup>
                              <m:sSubSupPr>
                                <m:ctrlP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SupPr>
                              <m:e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𝒙</m:t>
                                </m:r>
                              </m:e>
                              <m:sub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𝒊𝒋</m:t>
                                </m:r>
                              </m:sub>
                              <m:sup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𝒌</m:t>
                                </m:r>
                              </m:sup>
                            </m:sSubSup>
                          </m:e>
                        </m:nary>
                      </m:e>
                    </m:nary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 ∀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𝒋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∈{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𝟐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 …, 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𝒏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}</m:t>
                    </m:r>
                  </m:oMath>
                </m:oMathPara>
              </a14:m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K2. Each vehicle carrying goods does not exceed the vehicle's maximum capacity.</a:t>
              </a:r>
              <a:endParaRPr lang="en-GB">
                <a:solidFill>
                  <a:schemeClr val="tx1"/>
                </a:solidFill>
                <a:effectLst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ctrlP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𝟎</m:t>
                        </m:r>
                      </m:sub>
                      <m:sup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</m:t>
                        </m:r>
                      </m:sup>
                      <m:e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𝒒𝒋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d>
                          <m:dPr>
                            <m:ctrlP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nary>
                              <m:naryPr>
                                <m:chr m:val="∑"/>
                                <m:limLoc m:val="undOvr"/>
                                <m:ctrlP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𝒊</m:t>
                                </m:r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=</m:t>
                                </m:r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</m:sub>
                              <m:sup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𝒏</m:t>
                                </m:r>
                              </m:sup>
                              <m:e>
                                <m:sSubSup>
                                  <m:sSubSupPr>
                                    <m:ctrlPr>
                                      <a:rPr lang="en-GB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GB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𝒙</m:t>
                                    </m:r>
                                  </m:e>
                                  <m:sub>
                                    <m:r>
                                      <a:rPr lang="en-GB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𝒊𝒋</m:t>
                                    </m:r>
                                  </m:sub>
                                  <m:sup>
                                    <m:r>
                                      <a:rPr lang="en-GB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𝒌</m:t>
                                    </m:r>
                                  </m:sup>
                                </m:sSubSup>
                              </m:e>
                            </m:nary>
                          </m:e>
                        </m:d>
                      </m:e>
                    </m:nary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 ∪, ∀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𝒌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∈</m:t>
                    </m:r>
                    <m:d>
                      <m:dPr>
                        <m:begChr m:val="{"/>
                        <m:endChr m:val="}"/>
                        <m:ctrlP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…, 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</m:t>
                        </m:r>
                      </m:e>
                    </m:d>
                  </m:oMath>
                </m:oMathPara>
              </a14:m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K3. Each vehicle route starts and ends at the market; if each vehicle travel route begins from the market, then a journey leaves the market on each route. If each travel route ends at a market, then there is a journey to the market on each route.</a:t>
              </a:r>
              <a:endParaRPr lang="en-GB">
                <a:solidFill>
                  <a:schemeClr val="tx1"/>
                </a:solidFill>
                <a:effectLst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ctrlP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  <m:sup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𝒏</m:t>
                        </m:r>
                      </m:sup>
                      <m:e>
                        <m:sSubSup>
                          <m:sSubSupPr>
                            <m:ctrlP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𝒋</m:t>
                            </m:r>
                          </m:sub>
                          <m:sup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𝒌</m:t>
                            </m:r>
                          </m:sup>
                        </m:sSubSup>
                      </m:e>
                    </m:nary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 ∀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𝒌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…, 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</m:t>
                        </m:r>
                      </m:e>
                    </m:d>
                  </m:oMath>
                </m:oMathPara>
              </a14:m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K4. Route Continuity/Flow balance constraints : if a vehicle approaches a customer after being served, it will leave the customer.</a:t>
              </a:r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ctrlP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𝟎</m:t>
                        </m:r>
                      </m:sub>
                      <m:sup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𝒏</m:t>
                        </m:r>
                      </m:sup>
                      <m:e>
                        <m:sSubSup>
                          <m:sSubSupPr>
                            <m:ctrlP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𝒊𝒋</m:t>
                            </m:r>
                          </m:sub>
                          <m:sup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𝒌</m:t>
                            </m:r>
                          </m:sup>
                        </m:sSubSup>
                      </m:e>
                    </m:nary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 </m:t>
                    </m:r>
                    <m:nary>
                      <m:naryPr>
                        <m:chr m:val="∑"/>
                        <m:ctrlP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𝟎</m:t>
                        </m:r>
                      </m:sub>
                      <m:sup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𝒏</m:t>
                        </m:r>
                      </m:sup>
                      <m:e>
                        <m:sSubSup>
                          <m:sSubSupPr>
                            <m:ctrlP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𝒋𝒊</m:t>
                            </m:r>
                          </m:sub>
                          <m:sup>
                            <m: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𝒌</m:t>
                            </m:r>
                          </m:sup>
                        </m:sSubSup>
                      </m:e>
                    </m:nary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 ∀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𝒋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∈</m:t>
                    </m:r>
                    <m:d>
                      <m:dPr>
                        <m:begChr m:val="{"/>
                        <m:endChr m:val="}"/>
                        <m:ctrlP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…, 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𝒏</m:t>
                        </m:r>
                      </m:e>
                    </m:d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 ∀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𝒌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∈{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𝟐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 …, 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𝒎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}</m:t>
                    </m:r>
                  </m:oMath>
                </m:oMathPara>
              </a14:m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</a:p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K5.</a:t>
              </a:r>
              <a:r>
                <a:rPr lang="en-GB" sz="1100" b="1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Vehicles cannot start and end at the same node</a:t>
              </a:r>
              <a:endParaRPr lang="en-GB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r>
                <a:rPr lang="en-GB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GB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n-GB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𝒙</m:t>
                      </m:r>
                    </m:e>
                    <m:sub>
                      <m:r>
                        <a:rPr lang="en-GB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𝒊𝒋</m:t>
                      </m:r>
                    </m:sub>
                    <m:sup>
                      <m:r>
                        <a:rPr lang="en-GB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𝒌</m:t>
                      </m:r>
                    </m:sup>
                  </m:sSubSup>
                </m:oMath>
              </a14:m>
              <a:r>
                <a:rPr lang="en-GB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= 0</a:t>
              </a:r>
            </a:p>
            <a:p>
              <a:pPr algn="ctr"/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K6.</a:t>
              </a:r>
              <a:r>
                <a:rPr lang="en-GB" sz="1100" b="1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Binary requirements for the decision variables</a:t>
              </a:r>
              <a:endParaRPr lang="en-GB" b="1">
                <a:solidFill>
                  <a:schemeClr val="tx1"/>
                </a:solidFill>
                <a:effectLst/>
              </a:endParaRPr>
            </a:p>
            <a:p>
              <a:pPr algn="ctr"/>
              <a:r>
                <a:rPr lang="en-GB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GB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n-GB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𝒙</m:t>
                      </m:r>
                    </m:e>
                    <m:sub>
                      <m:r>
                        <a:rPr lang="en-GB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𝒊𝒋</m:t>
                      </m:r>
                    </m:sub>
                    <m:sup>
                      <m:r>
                        <a:rPr lang="en-GB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𝒌</m:t>
                      </m:r>
                    </m:sup>
                  </m:sSubSup>
                </m:oMath>
              </a14:m>
              <a:r>
                <a:rPr lang="en-GB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14:m>
                <m:oMath xmlns:m="http://schemas.openxmlformats.org/officeDocument/2006/math">
                  <m:r>
                    <a:rPr lang="en-GB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∈</m:t>
                  </m:r>
                  <m:d>
                    <m:dPr>
                      <m:begChr m:val="{"/>
                      <m:endChr m:val="}"/>
                      <m:ctrlPr>
                        <a:rPr lang="en-GB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n-GB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n-GB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n-GB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𝟏</m:t>
                      </m:r>
                    </m:e>
                  </m:d>
                </m:oMath>
              </a14:m>
              <a:endParaRPr lang="en-GB">
                <a:solidFill>
                  <a:schemeClr val="tx1"/>
                </a:solidFill>
                <a:effectLst/>
              </a:endParaRPr>
            </a:p>
            <a:p>
              <a:pPr algn="ctr"/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K7. Travel time for each route must be less than the specified maximum time.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ctrlP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𝟎</m:t>
                        </m:r>
                      </m:sub>
                      <m:sup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</m:t>
                        </m:r>
                      </m:sup>
                      <m:e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𝒕𝒋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d>
                          <m:dPr>
                            <m:ctrlP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nary>
                              <m:naryPr>
                                <m:chr m:val="∑"/>
                                <m:limLoc m:val="undOvr"/>
                                <m:ctrlP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𝒊</m:t>
                                </m:r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=</m:t>
                                </m:r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</m:sub>
                              <m:sup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𝒏</m:t>
                                </m:r>
                              </m:sup>
                              <m:e>
                                <m:sSubSup>
                                  <m:sSubSupPr>
                                    <m:ctrlPr>
                                      <a:rPr lang="en-GB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GB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𝒙</m:t>
                                    </m:r>
                                  </m:e>
                                  <m:sub>
                                    <m:r>
                                      <a:rPr lang="en-GB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𝒊𝒋</m:t>
                                    </m:r>
                                  </m:sub>
                                  <m:sup>
                                    <m:r>
                                      <a:rPr lang="en-GB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𝒌</m:t>
                                    </m:r>
                                  </m:sup>
                                </m:sSubSup>
                              </m:e>
                            </m:nary>
                          </m:e>
                        </m:d>
                      </m:e>
                    </m:nary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 ∪, ∀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𝒌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∈</m:t>
                    </m:r>
                    <m:d>
                      <m:dPr>
                        <m:begChr m:val="{"/>
                        <m:endChr m:val="}"/>
                        <m:ctrlP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…, 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</m:t>
                        </m:r>
                      </m:e>
                    </m:d>
                  </m:oMath>
                </m:oMathPara>
              </a14:m>
              <a:endParaRPr lang="en-GB">
                <a:solidFill>
                  <a:schemeClr val="tx1"/>
                </a:solidFill>
                <a:effectLst/>
              </a:endParaRPr>
            </a:p>
            <a:p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K8.</a:t>
              </a:r>
              <a:r>
                <a:rPr lang="en-GB" sz="1100" b="1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Travel Speed for each route must be less than the specified maximum speed.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ctrlP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𝟎</m:t>
                        </m:r>
                      </m:sub>
                      <m:sup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</m:t>
                        </m:r>
                      </m:sup>
                      <m:e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𝑽𝒋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d>
                          <m:dPr>
                            <m:ctrlP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nary>
                              <m:naryPr>
                                <m:chr m:val="∑"/>
                                <m:limLoc m:val="undOvr"/>
                                <m:ctrlP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𝒊</m:t>
                                </m:r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=</m:t>
                                </m:r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</m:sub>
                              <m:sup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𝒏</m:t>
                                </m:r>
                              </m:sup>
                              <m:e>
                                <m:sSubSup>
                                  <m:sSubSupPr>
                                    <m:ctrlPr>
                                      <a:rPr lang="en-GB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GB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𝒙</m:t>
                                    </m:r>
                                  </m:e>
                                  <m:sub>
                                    <m:r>
                                      <a:rPr lang="en-GB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𝒊𝒋</m:t>
                                    </m:r>
                                  </m:sub>
                                  <m:sup>
                                    <m:r>
                                      <a:rPr lang="en-GB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𝒌</m:t>
                                    </m:r>
                                  </m:sup>
                                </m:sSubSup>
                              </m:e>
                            </m:nary>
                          </m:e>
                        </m:d>
                      </m:e>
                    </m:nary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 ∪, ∀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𝒌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∈</m:t>
                    </m:r>
                    <m:d>
                      <m:dPr>
                        <m:begChr m:val="{"/>
                        <m:endChr m:val="}"/>
                        <m:ctrlP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…, 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</m:t>
                        </m:r>
                      </m:e>
                    </m:d>
                  </m:oMath>
                </m:oMathPara>
              </a14:m>
              <a:endParaRPr lang="en-GB">
                <a:solidFill>
                  <a:schemeClr val="tx1"/>
                </a:solidFill>
                <a:effectLst/>
              </a:endParaRPr>
            </a:p>
            <a:p>
              <a:br>
                <a:rPr lang="en-GB" sz="1100" b="1" i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K9. Service time per customer for each route must be less than the specified maximum service time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ctrlP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𝟎</m:t>
                        </m:r>
                      </m:sub>
                      <m:sup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</m:t>
                        </m:r>
                      </m:sup>
                      <m:e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𝑺𝒋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d>
                          <m:dPr>
                            <m:ctrlPr>
                              <a:rPr lang="en-GB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nary>
                              <m:naryPr>
                                <m:chr m:val="∑"/>
                                <m:limLoc m:val="undOvr"/>
                                <m:ctrlP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𝒊</m:t>
                                </m:r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=</m:t>
                                </m:r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</m:sub>
                              <m:sup>
                                <m:r>
                                  <a:rPr lang="en-GB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𝒏</m:t>
                                </m:r>
                              </m:sup>
                              <m:e>
                                <m:sSubSup>
                                  <m:sSubSupPr>
                                    <m:ctrlPr>
                                      <a:rPr lang="en-GB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GB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𝒙</m:t>
                                    </m:r>
                                  </m:e>
                                  <m:sub>
                                    <m:r>
                                      <a:rPr lang="en-GB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𝒊𝒋</m:t>
                                    </m:r>
                                  </m:sub>
                                  <m:sup>
                                    <m:r>
                                      <a:rPr lang="en-GB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𝒌</m:t>
                                    </m:r>
                                  </m:sup>
                                </m:sSubSup>
                              </m:e>
                            </m:nary>
                          </m:e>
                        </m:d>
                      </m:e>
                    </m:nary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 ∪, ∀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𝒌</m:t>
                    </m:r>
                    <m:r>
                      <a:rPr lang="en-GB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∈</m:t>
                    </m:r>
                    <m:d>
                      <m:dPr>
                        <m:begChr m:val="{"/>
                        <m:endChr m:val="}"/>
                        <m:ctrlP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…, </m:t>
                        </m:r>
                        <m:r>
                          <a:rPr lang="en-GB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</m:t>
                        </m:r>
                      </m:e>
                    </m:d>
                  </m:oMath>
                </m:oMathPara>
              </a14:m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1677F16-83E8-4A0B-98A8-26FADFD46192}"/>
                </a:ext>
              </a:extLst>
            </xdr:cNvPr>
            <xdr:cNvSpPr txBox="1"/>
          </xdr:nvSpPr>
          <xdr:spPr>
            <a:xfrm>
              <a:off x="0" y="0"/>
              <a:ext cx="7937500" cy="86614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Objective : Minimize travel distance</a:t>
              </a:r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:r>
                <a:rPr lang="en-GB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𝒁=∑_(𝒌=𝟏)^𝒎▒∑_(𝒊=𝟎)^𝒏▒∑_(𝒋=𝟎)^𝒏▒〖𝒅𝒊𝒋 〗 𝒙_𝒊𝒋^𝒌</a:t>
              </a:r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Constraints and Mathematic Model</a:t>
              </a:r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0"/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K1. Each customer can only be visited exactly once.</a:t>
              </a:r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:r>
                <a:rPr lang="en-GB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∑_(𝒌=𝟏)^𝒎▒∑_(𝒊=𝟎)^𝒏▒𝒙_𝒊𝒋^𝒌 =𝟏, ∀𝒋 ∈{𝟏,𝟐, …, 𝒏}</a:t>
              </a:r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K2. Each vehicle carrying goods does not exceed the vehicle's maximum capacity.</a:t>
              </a:r>
              <a:endParaRPr lang="en-GB">
                <a:solidFill>
                  <a:schemeClr val="tx1"/>
                </a:solidFill>
                <a:effectLst/>
              </a:endParaRPr>
            </a:p>
            <a:p>
              <a:r>
                <a:rPr lang="en-GB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∑_(𝒋=𝟎)^𝒎▒〖𝒒𝒋 (∑1_(𝒊=𝟎)^𝒏▒𝒙_𝒊𝒋^𝒌 ) 〗≤ ∪, ∀𝒌 ∈{𝟏,𝟐, …, 𝒎}</a:t>
              </a:r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K3. Each vehicle route starts and ends at the market; if each vehicle travel route begins from the market, then a journey leaves the market on each route. If each travel route ends at a market, then there is a journey to the market on each route.</a:t>
              </a:r>
              <a:endParaRPr lang="en-GB">
                <a:solidFill>
                  <a:schemeClr val="tx1"/>
                </a:solidFill>
                <a:effectLst/>
              </a:endParaRPr>
            </a:p>
            <a:p>
              <a:r>
                <a:rPr lang="en-GB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∑_(𝒋=𝟏)^𝒏▒𝒙_𝟎𝒋^𝒌 =𝟏, ∀𝒌∈{𝟏,𝟐, …, 𝒎}</a:t>
              </a:r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K4. Route Continuity/Flow balance constraints : if a vehicle approaches a customer after being served, it will leave the customer.</a:t>
              </a:r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:r>
                <a:rPr lang="en-GB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∑_(𝒊=𝟎)^𝒏▒𝒙_𝒊𝒋^𝒌 − ∑_(𝒋=𝟎)^𝒏▒𝒙_𝒋𝒊^𝒌 =𝟎, ∀𝒋 ∈{𝟏,𝟐, …, 𝒏}, ∀𝒌 ∈{𝟏,𝟐, …, 𝒎}</a:t>
              </a:r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</a:p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K5.</a:t>
              </a:r>
              <a:r>
                <a:rPr lang="en-GB" sz="1100" b="1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Vehicles cannot start and end at the same node</a:t>
              </a:r>
              <a:endParaRPr lang="en-GB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r>
                <a:rPr lang="en-GB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GB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𝒙_𝒊𝒋^𝒌</a:t>
              </a:r>
              <a:r>
                <a:rPr lang="en-GB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= 0</a:t>
              </a:r>
            </a:p>
            <a:p>
              <a:pPr algn="ctr"/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K6.</a:t>
              </a:r>
              <a:r>
                <a:rPr lang="en-GB" sz="1100" b="1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Binary requirements for the decision variables</a:t>
              </a:r>
              <a:endParaRPr lang="en-GB" b="1">
                <a:solidFill>
                  <a:schemeClr val="tx1"/>
                </a:solidFill>
                <a:effectLst/>
              </a:endParaRPr>
            </a:p>
            <a:p>
              <a:pPr algn="ctr"/>
              <a:r>
                <a:rPr lang="en-GB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GB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𝒙_𝒊𝒋^𝒌</a:t>
              </a:r>
              <a:r>
                <a:rPr lang="en-GB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∈{</a:t>
              </a:r>
              <a:r>
                <a:rPr lang="en-GB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𝟎,𝟏</a:t>
              </a:r>
              <a:r>
                <a:rPr lang="en-GB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}</a:t>
              </a:r>
              <a:endParaRPr lang="en-GB">
                <a:solidFill>
                  <a:schemeClr val="tx1"/>
                </a:solidFill>
                <a:effectLst/>
              </a:endParaRPr>
            </a:p>
            <a:p>
              <a:pPr algn="ctr"/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K7. Travel time for each route must be less than the specified maximum time.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∑_(𝒋=𝟎)^𝒎▒〖</a:t>
              </a:r>
              <a:r>
                <a:rPr lang="en-GB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𝒕</a:t>
              </a:r>
              <a:r>
                <a:rPr lang="en-GB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𝒋 (∑1_(𝒊=𝟎)^𝒏▒𝒙_𝒊𝒋^𝒌 ) 〗≤ ∪, ∀𝒌 ∈{𝟏,𝟐, …, 𝒎}</a:t>
              </a:r>
              <a:endParaRPr lang="en-GB">
                <a:solidFill>
                  <a:schemeClr val="tx1"/>
                </a:solidFill>
                <a:effectLst/>
              </a:endParaRPr>
            </a:p>
            <a:p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K8.</a:t>
              </a:r>
              <a:r>
                <a:rPr lang="en-GB" sz="1100" b="1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Travel Speed for each route must be less than the specified maximum speed.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∑_(𝒋=𝟎)^𝒎▒〖</a:t>
              </a:r>
              <a:r>
                <a:rPr lang="en-GB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</a:t>
              </a:r>
              <a:r>
                <a:rPr lang="en-GB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𝒋 (∑1_(𝒊=𝟎)^𝒏▒𝒙_𝒊𝒋^𝒌 ) 〗≤ ∪, ∀𝒌 ∈{𝟏,𝟐, …, 𝒎}</a:t>
              </a:r>
              <a:endParaRPr lang="en-GB">
                <a:solidFill>
                  <a:schemeClr val="tx1"/>
                </a:solidFill>
                <a:effectLst/>
              </a:endParaRPr>
            </a:p>
            <a:p>
              <a:pPr/>
              <a:br>
                <a:rPr lang="en-GB" sz="1100" b="1" i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K9. Service time per customer for each route must be less than the specified maximum service time</a:t>
              </a:r>
            </a:p>
            <a:p>
              <a:r>
                <a:rPr lang="en-GB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∑_(𝒋=𝟎)^𝒎▒〖</a:t>
              </a:r>
              <a:r>
                <a:rPr lang="en-GB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𝑺</a:t>
              </a:r>
              <a:r>
                <a:rPr lang="en-GB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𝒋 (∑1_(𝒊=𝟎)^𝒏▒𝒙_𝒊𝒋^𝒌 ) 〗≤ ∪, ∀𝒌 ∈{𝟏,𝟐, …, 𝒎}</a:t>
              </a:r>
              <a:endParaRPr lang="en-GB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5D9D-3784-4709-8F54-A274E5E180BF}">
  <dimension ref="A1:AH13"/>
  <sheetViews>
    <sheetView zoomScale="60" zoomScaleNormal="60" workbookViewId="0">
      <selection activeCell="G19" sqref="G19:G20"/>
    </sheetView>
  </sheetViews>
  <sheetFormatPr defaultRowHeight="15" x14ac:dyDescent="0.2"/>
  <sheetData>
    <row r="1" spans="1:34" s="2" customFormat="1" x14ac:dyDescent="0.2">
      <c r="A1" s="24"/>
      <c r="B1" s="25" t="s">
        <v>5</v>
      </c>
      <c r="C1" s="25"/>
      <c r="D1" s="25"/>
      <c r="E1" s="25"/>
      <c r="F1" s="25"/>
      <c r="G1" s="25"/>
      <c r="H1" s="26" t="s">
        <v>6</v>
      </c>
      <c r="I1" s="26"/>
      <c r="J1" s="26"/>
      <c r="K1" s="26"/>
      <c r="L1" s="26"/>
      <c r="M1" s="26"/>
      <c r="N1" s="27" t="s">
        <v>7</v>
      </c>
      <c r="O1" s="27"/>
      <c r="P1" s="27"/>
      <c r="Q1" s="27"/>
      <c r="R1" s="27"/>
      <c r="S1" s="27"/>
      <c r="T1" s="26" t="s">
        <v>8</v>
      </c>
      <c r="U1" s="26"/>
      <c r="V1" s="26"/>
      <c r="W1" s="26"/>
      <c r="X1" s="26"/>
      <c r="Y1" s="26"/>
      <c r="Z1" s="25" t="s">
        <v>9</v>
      </c>
      <c r="AA1" s="25"/>
      <c r="AB1" s="25"/>
      <c r="AC1" s="25"/>
      <c r="AD1" s="25"/>
      <c r="AE1" s="25"/>
    </row>
    <row r="2" spans="1:34" s="2" customFormat="1" x14ac:dyDescent="0.2">
      <c r="A2" s="24"/>
      <c r="B2" s="19" t="s">
        <v>10</v>
      </c>
      <c r="C2" s="19" t="s">
        <v>0</v>
      </c>
      <c r="D2" s="19" t="s">
        <v>1</v>
      </c>
      <c r="E2" s="19" t="s">
        <v>2</v>
      </c>
      <c r="F2" s="19" t="s">
        <v>3</v>
      </c>
      <c r="G2" s="19" t="s">
        <v>4</v>
      </c>
      <c r="H2" s="17" t="s">
        <v>10</v>
      </c>
      <c r="I2" s="17" t="s">
        <v>0</v>
      </c>
      <c r="J2" s="17" t="s">
        <v>1</v>
      </c>
      <c r="K2" s="17" t="s">
        <v>2</v>
      </c>
      <c r="L2" s="17" t="s">
        <v>3</v>
      </c>
      <c r="M2" s="17" t="s">
        <v>4</v>
      </c>
      <c r="N2" s="18" t="s">
        <v>10</v>
      </c>
      <c r="O2" s="18" t="s">
        <v>0</v>
      </c>
      <c r="P2" s="18" t="s">
        <v>1</v>
      </c>
      <c r="Q2" s="18" t="s">
        <v>2</v>
      </c>
      <c r="R2" s="18" t="s">
        <v>3</v>
      </c>
      <c r="S2" s="18" t="s">
        <v>4</v>
      </c>
      <c r="T2" s="17" t="s">
        <v>10</v>
      </c>
      <c r="U2" s="17" t="s">
        <v>0</v>
      </c>
      <c r="V2" s="17" t="s">
        <v>1</v>
      </c>
      <c r="W2" s="17" t="s">
        <v>2</v>
      </c>
      <c r="X2" s="17" t="s">
        <v>3</v>
      </c>
      <c r="Y2" s="17" t="s">
        <v>4</v>
      </c>
      <c r="Z2" s="18" t="s">
        <v>10</v>
      </c>
      <c r="AA2" s="19" t="s">
        <v>0</v>
      </c>
      <c r="AB2" s="19" t="s">
        <v>1</v>
      </c>
      <c r="AC2" s="19" t="s">
        <v>2</v>
      </c>
      <c r="AD2" s="19" t="s">
        <v>3</v>
      </c>
      <c r="AE2" s="19" t="s">
        <v>4</v>
      </c>
    </row>
    <row r="3" spans="1:34" s="3" customFormat="1" x14ac:dyDescent="0.2">
      <c r="A3" s="19" t="s">
        <v>10</v>
      </c>
      <c r="B3" s="14">
        <v>0</v>
      </c>
      <c r="C3" s="14">
        <v>18</v>
      </c>
      <c r="D3" s="14">
        <v>25</v>
      </c>
      <c r="E3" s="14">
        <v>12</v>
      </c>
      <c r="F3" s="14">
        <v>40</v>
      </c>
      <c r="G3" s="14">
        <v>20</v>
      </c>
      <c r="H3" s="15">
        <v>0</v>
      </c>
      <c r="I3" s="15">
        <v>25</v>
      </c>
      <c r="J3" s="15">
        <v>15</v>
      </c>
      <c r="K3" s="15">
        <v>30</v>
      </c>
      <c r="L3" s="15">
        <v>9</v>
      </c>
      <c r="M3" s="15">
        <v>40</v>
      </c>
      <c r="N3" s="14">
        <v>0</v>
      </c>
      <c r="O3" s="14">
        <v>10</v>
      </c>
      <c r="P3" s="14">
        <v>30</v>
      </c>
      <c r="Q3" s="14">
        <v>25</v>
      </c>
      <c r="R3" s="14">
        <v>20</v>
      </c>
      <c r="S3" s="14">
        <v>35</v>
      </c>
      <c r="T3" s="15">
        <v>0</v>
      </c>
      <c r="U3" s="15">
        <v>25</v>
      </c>
      <c r="V3" s="15">
        <v>15</v>
      </c>
      <c r="W3" s="15">
        <v>30</v>
      </c>
      <c r="X3" s="15">
        <v>10</v>
      </c>
      <c r="Y3" s="15">
        <v>35</v>
      </c>
      <c r="Z3" s="14">
        <v>0</v>
      </c>
      <c r="AA3" s="14">
        <v>22</v>
      </c>
      <c r="AB3" s="14">
        <v>18</v>
      </c>
      <c r="AC3" s="14">
        <v>30</v>
      </c>
      <c r="AD3" s="14">
        <v>10</v>
      </c>
      <c r="AE3" s="14">
        <v>38</v>
      </c>
    </row>
    <row r="4" spans="1:34" x14ac:dyDescent="0.2">
      <c r="A4" s="19" t="s">
        <v>0</v>
      </c>
      <c r="B4" s="14">
        <v>18</v>
      </c>
      <c r="C4" s="14">
        <v>0</v>
      </c>
      <c r="D4" s="14">
        <v>38</v>
      </c>
      <c r="E4" s="14">
        <v>27</v>
      </c>
      <c r="F4" s="14">
        <v>5</v>
      </c>
      <c r="G4" s="14">
        <v>48</v>
      </c>
      <c r="H4" s="15">
        <v>25</v>
      </c>
      <c r="I4" s="15">
        <v>0</v>
      </c>
      <c r="J4" s="15">
        <v>37</v>
      </c>
      <c r="K4" s="15">
        <v>8</v>
      </c>
      <c r="L4" s="15">
        <v>44</v>
      </c>
      <c r="M4" s="15">
        <v>13</v>
      </c>
      <c r="N4" s="14">
        <v>10</v>
      </c>
      <c r="O4" s="14">
        <v>0</v>
      </c>
      <c r="P4" s="14">
        <v>20</v>
      </c>
      <c r="Q4" s="14">
        <v>42</v>
      </c>
      <c r="R4" s="14">
        <v>11</v>
      </c>
      <c r="S4" s="14">
        <v>18</v>
      </c>
      <c r="T4" s="15">
        <v>25</v>
      </c>
      <c r="U4" s="15">
        <v>0</v>
      </c>
      <c r="V4" s="15">
        <v>20</v>
      </c>
      <c r="W4" s="15">
        <v>40</v>
      </c>
      <c r="X4" s="15">
        <v>11</v>
      </c>
      <c r="Y4" s="15">
        <v>18</v>
      </c>
      <c r="Z4" s="14">
        <v>22</v>
      </c>
      <c r="AA4" s="14">
        <v>0</v>
      </c>
      <c r="AB4" s="14">
        <v>16</v>
      </c>
      <c r="AC4" s="14">
        <v>38</v>
      </c>
      <c r="AD4" s="14">
        <v>9</v>
      </c>
      <c r="AE4" s="14">
        <v>18</v>
      </c>
    </row>
    <row r="5" spans="1:34" x14ac:dyDescent="0.2">
      <c r="A5" s="19" t="s">
        <v>1</v>
      </c>
      <c r="B5" s="14">
        <v>25</v>
      </c>
      <c r="C5" s="14">
        <v>38</v>
      </c>
      <c r="D5" s="14">
        <v>0</v>
      </c>
      <c r="E5" s="14">
        <v>43</v>
      </c>
      <c r="F5" s="14">
        <v>37</v>
      </c>
      <c r="G5" s="14">
        <v>6</v>
      </c>
      <c r="H5" s="15">
        <v>15</v>
      </c>
      <c r="I5" s="15">
        <v>37</v>
      </c>
      <c r="J5" s="15">
        <v>0</v>
      </c>
      <c r="K5" s="15">
        <v>42</v>
      </c>
      <c r="L5" s="15">
        <v>23</v>
      </c>
      <c r="M5" s="15">
        <v>47</v>
      </c>
      <c r="N5" s="14">
        <v>30</v>
      </c>
      <c r="O5" s="14">
        <v>20</v>
      </c>
      <c r="P5" s="14">
        <v>0</v>
      </c>
      <c r="Q5" s="14">
        <v>8</v>
      </c>
      <c r="R5" s="14">
        <v>38</v>
      </c>
      <c r="S5" s="14">
        <v>28</v>
      </c>
      <c r="T5" s="15">
        <v>15</v>
      </c>
      <c r="U5" s="15">
        <v>20</v>
      </c>
      <c r="V5" s="15">
        <v>0</v>
      </c>
      <c r="W5" s="15">
        <v>8</v>
      </c>
      <c r="X5" s="15">
        <v>38</v>
      </c>
      <c r="Y5" s="15">
        <v>28</v>
      </c>
      <c r="Z5" s="14">
        <v>18</v>
      </c>
      <c r="AA5" s="14">
        <v>16</v>
      </c>
      <c r="AB5" s="14">
        <v>0</v>
      </c>
      <c r="AC5" s="14">
        <v>10</v>
      </c>
      <c r="AD5" s="14">
        <v>36</v>
      </c>
      <c r="AE5" s="14">
        <v>30</v>
      </c>
    </row>
    <row r="6" spans="1:34" x14ac:dyDescent="0.2">
      <c r="A6" s="19" t="s">
        <v>2</v>
      </c>
      <c r="B6" s="14">
        <v>12</v>
      </c>
      <c r="C6" s="14">
        <v>27</v>
      </c>
      <c r="D6" s="14">
        <v>43</v>
      </c>
      <c r="E6" s="14">
        <v>0</v>
      </c>
      <c r="F6" s="14">
        <v>8</v>
      </c>
      <c r="G6" s="14">
        <v>45</v>
      </c>
      <c r="H6" s="15">
        <v>30</v>
      </c>
      <c r="I6" s="15">
        <v>8</v>
      </c>
      <c r="J6" s="15">
        <v>42</v>
      </c>
      <c r="K6" s="15">
        <v>0</v>
      </c>
      <c r="L6" s="15">
        <v>19</v>
      </c>
      <c r="M6" s="15">
        <v>43</v>
      </c>
      <c r="N6" s="14">
        <v>25</v>
      </c>
      <c r="O6" s="14">
        <v>42</v>
      </c>
      <c r="P6" s="14">
        <v>8</v>
      </c>
      <c r="Q6" s="14">
        <v>0</v>
      </c>
      <c r="R6" s="14">
        <v>30</v>
      </c>
      <c r="S6" s="14">
        <v>16</v>
      </c>
      <c r="T6" s="15">
        <v>30</v>
      </c>
      <c r="U6" s="15">
        <v>40</v>
      </c>
      <c r="V6" s="15">
        <v>8</v>
      </c>
      <c r="W6" s="15">
        <v>0</v>
      </c>
      <c r="X6" s="15">
        <v>25</v>
      </c>
      <c r="Y6" s="15">
        <v>16</v>
      </c>
      <c r="Z6" s="14">
        <v>30</v>
      </c>
      <c r="AA6" s="14">
        <v>38</v>
      </c>
      <c r="AB6" s="14">
        <v>10</v>
      </c>
      <c r="AC6" s="14">
        <v>0</v>
      </c>
      <c r="AD6" s="14">
        <v>24</v>
      </c>
      <c r="AE6" s="14">
        <v>18</v>
      </c>
    </row>
    <row r="7" spans="1:34" x14ac:dyDescent="0.2">
      <c r="A7" s="19" t="s">
        <v>3</v>
      </c>
      <c r="B7" s="14">
        <v>40</v>
      </c>
      <c r="C7" s="14">
        <v>5</v>
      </c>
      <c r="D7" s="14">
        <v>37</v>
      </c>
      <c r="E7" s="14">
        <v>8</v>
      </c>
      <c r="F7" s="14">
        <v>0</v>
      </c>
      <c r="G7" s="14">
        <v>39</v>
      </c>
      <c r="H7" s="15">
        <v>9</v>
      </c>
      <c r="I7" s="15">
        <v>44</v>
      </c>
      <c r="J7" s="15">
        <v>23</v>
      </c>
      <c r="K7" s="15">
        <v>19</v>
      </c>
      <c r="L7" s="15">
        <v>0</v>
      </c>
      <c r="M7" s="15">
        <v>28</v>
      </c>
      <c r="N7" s="14">
        <v>20</v>
      </c>
      <c r="O7" s="14">
        <v>11</v>
      </c>
      <c r="P7" s="14">
        <v>38</v>
      </c>
      <c r="Q7" s="14">
        <v>30</v>
      </c>
      <c r="R7" s="14">
        <v>0</v>
      </c>
      <c r="S7" s="14">
        <v>42</v>
      </c>
      <c r="T7" s="15">
        <v>10</v>
      </c>
      <c r="U7" s="15">
        <v>11</v>
      </c>
      <c r="V7" s="15">
        <v>38</v>
      </c>
      <c r="W7" s="15">
        <v>25</v>
      </c>
      <c r="X7" s="15">
        <v>0</v>
      </c>
      <c r="Y7" s="15">
        <v>42</v>
      </c>
      <c r="Z7" s="14">
        <v>10</v>
      </c>
      <c r="AA7" s="14">
        <v>9</v>
      </c>
      <c r="AB7" s="14">
        <v>36</v>
      </c>
      <c r="AC7" s="14">
        <v>24</v>
      </c>
      <c r="AD7" s="14">
        <v>0</v>
      </c>
      <c r="AE7" s="14">
        <v>40</v>
      </c>
    </row>
    <row r="8" spans="1:34" x14ac:dyDescent="0.2">
      <c r="A8" s="19" t="s">
        <v>4</v>
      </c>
      <c r="B8" s="14">
        <v>20</v>
      </c>
      <c r="C8" s="14">
        <v>48</v>
      </c>
      <c r="D8" s="14">
        <v>6</v>
      </c>
      <c r="E8" s="14">
        <v>45</v>
      </c>
      <c r="F8" s="14">
        <v>39</v>
      </c>
      <c r="G8" s="14">
        <v>0</v>
      </c>
      <c r="H8" s="15">
        <v>40</v>
      </c>
      <c r="I8" s="15">
        <v>13</v>
      </c>
      <c r="J8" s="15">
        <v>47</v>
      </c>
      <c r="K8" s="15">
        <v>43</v>
      </c>
      <c r="L8" s="15">
        <v>28</v>
      </c>
      <c r="M8" s="15">
        <v>0</v>
      </c>
      <c r="N8" s="14">
        <v>35</v>
      </c>
      <c r="O8" s="14">
        <v>18</v>
      </c>
      <c r="P8" s="14">
        <v>28</v>
      </c>
      <c r="Q8" s="14">
        <v>16</v>
      </c>
      <c r="R8" s="14">
        <v>42</v>
      </c>
      <c r="S8" s="14">
        <v>0</v>
      </c>
      <c r="T8" s="15">
        <v>35</v>
      </c>
      <c r="U8" s="15">
        <v>18</v>
      </c>
      <c r="V8" s="15">
        <v>28</v>
      </c>
      <c r="W8" s="15">
        <v>16</v>
      </c>
      <c r="X8" s="15">
        <v>42</v>
      </c>
      <c r="Y8" s="15">
        <v>0</v>
      </c>
      <c r="Z8" s="14">
        <v>38</v>
      </c>
      <c r="AA8" s="14">
        <v>18</v>
      </c>
      <c r="AB8" s="14">
        <v>30</v>
      </c>
      <c r="AC8" s="14">
        <v>18</v>
      </c>
      <c r="AD8" s="14">
        <v>40</v>
      </c>
      <c r="AE8" s="14">
        <v>0</v>
      </c>
    </row>
    <row r="9" spans="1:34" x14ac:dyDescent="0.2">
      <c r="A9" s="20" t="s">
        <v>12</v>
      </c>
      <c r="B9" s="20"/>
      <c r="C9" s="8">
        <v>50</v>
      </c>
      <c r="H9" s="6">
        <v>50</v>
      </c>
      <c r="N9" s="9">
        <v>50</v>
      </c>
      <c r="T9" s="6">
        <v>50</v>
      </c>
      <c r="Z9" s="9">
        <v>50</v>
      </c>
    </row>
    <row r="10" spans="1:34" x14ac:dyDescent="0.2">
      <c r="A10" s="20" t="s">
        <v>20</v>
      </c>
      <c r="B10" s="20">
        <v>0</v>
      </c>
      <c r="C10" s="8">
        <v>23</v>
      </c>
      <c r="D10">
        <v>8</v>
      </c>
      <c r="E10">
        <v>12</v>
      </c>
      <c r="F10">
        <v>8</v>
      </c>
      <c r="G10">
        <v>10</v>
      </c>
      <c r="H10" s="6">
        <v>0</v>
      </c>
      <c r="I10" s="7">
        <v>25</v>
      </c>
      <c r="J10" s="7">
        <v>18</v>
      </c>
      <c r="K10" s="7">
        <v>9</v>
      </c>
      <c r="L10" s="7">
        <v>11</v>
      </c>
      <c r="M10" s="7">
        <v>13</v>
      </c>
      <c r="N10" s="9">
        <v>0</v>
      </c>
      <c r="O10" s="7">
        <v>3</v>
      </c>
      <c r="P10" s="7">
        <v>23</v>
      </c>
      <c r="Q10" s="7">
        <v>15</v>
      </c>
      <c r="R10" s="7">
        <v>7</v>
      </c>
      <c r="S10" s="7">
        <v>9</v>
      </c>
      <c r="T10" s="6">
        <v>0</v>
      </c>
      <c r="U10" s="7">
        <v>4</v>
      </c>
      <c r="V10" s="7">
        <v>17</v>
      </c>
      <c r="W10" s="7">
        <v>4</v>
      </c>
      <c r="X10" s="7">
        <v>7</v>
      </c>
      <c r="Y10" s="7">
        <v>11</v>
      </c>
      <c r="Z10" s="9">
        <v>0</v>
      </c>
      <c r="AA10" s="7">
        <v>16</v>
      </c>
      <c r="AB10" s="7">
        <v>8</v>
      </c>
      <c r="AC10" s="7">
        <v>10</v>
      </c>
      <c r="AD10" s="7">
        <v>10</v>
      </c>
      <c r="AE10" s="7">
        <v>8</v>
      </c>
    </row>
    <row r="11" spans="1:34" x14ac:dyDescent="0.2">
      <c r="A11" s="20" t="s">
        <v>24</v>
      </c>
      <c r="B11" s="20">
        <v>0</v>
      </c>
      <c r="C11" s="20">
        <v>20</v>
      </c>
      <c r="D11" s="20">
        <v>30</v>
      </c>
      <c r="E11" s="20">
        <v>20</v>
      </c>
      <c r="F11" s="20">
        <v>10</v>
      </c>
      <c r="G11" s="20">
        <v>45</v>
      </c>
      <c r="H11" s="20">
        <v>0</v>
      </c>
      <c r="I11" s="20">
        <v>50</v>
      </c>
      <c r="J11" s="20">
        <v>30</v>
      </c>
      <c r="K11" s="20">
        <v>40</v>
      </c>
      <c r="L11" s="20">
        <v>30</v>
      </c>
      <c r="M11" s="20">
        <v>20</v>
      </c>
      <c r="N11" s="20">
        <v>0</v>
      </c>
      <c r="O11" s="20">
        <v>60</v>
      </c>
      <c r="P11" s="20">
        <v>45</v>
      </c>
      <c r="Q11" s="20">
        <v>40</v>
      </c>
      <c r="R11" s="20">
        <v>30</v>
      </c>
      <c r="S11" s="20">
        <v>20</v>
      </c>
      <c r="T11" s="20">
        <v>0</v>
      </c>
      <c r="U11" s="20">
        <v>50</v>
      </c>
      <c r="V11" s="20">
        <v>30</v>
      </c>
      <c r="W11" s="20">
        <v>30</v>
      </c>
      <c r="X11" s="20">
        <v>50</v>
      </c>
      <c r="Y11" s="20">
        <v>20</v>
      </c>
      <c r="Z11" s="20">
        <v>0</v>
      </c>
      <c r="AA11" s="20">
        <v>20</v>
      </c>
      <c r="AB11" s="20">
        <v>30</v>
      </c>
      <c r="AC11" s="20">
        <v>40</v>
      </c>
      <c r="AD11" s="20">
        <v>60</v>
      </c>
      <c r="AE11" s="20">
        <v>30</v>
      </c>
      <c r="AG11" s="23">
        <v>300</v>
      </c>
      <c r="AH11" t="s">
        <v>31</v>
      </c>
    </row>
    <row r="12" spans="1:34" x14ac:dyDescent="0.2">
      <c r="A12" s="20" t="s">
        <v>25</v>
      </c>
      <c r="B12" s="20">
        <v>0</v>
      </c>
      <c r="C12" s="20">
        <v>10</v>
      </c>
      <c r="D12" s="20">
        <v>10</v>
      </c>
      <c r="E12" s="20">
        <v>5</v>
      </c>
      <c r="F12" s="20">
        <v>20</v>
      </c>
      <c r="G12" s="20">
        <v>20</v>
      </c>
      <c r="H12" s="20">
        <v>0</v>
      </c>
      <c r="I12" s="20">
        <v>20</v>
      </c>
      <c r="J12" s="20">
        <v>20</v>
      </c>
      <c r="K12" s="20">
        <v>15</v>
      </c>
      <c r="L12" s="20">
        <v>10</v>
      </c>
      <c r="M12" s="20">
        <v>5</v>
      </c>
      <c r="N12" s="20">
        <v>0</v>
      </c>
      <c r="O12" s="20">
        <v>5</v>
      </c>
      <c r="P12" s="20">
        <v>15</v>
      </c>
      <c r="Q12" s="20">
        <v>20</v>
      </c>
      <c r="R12" s="20">
        <v>10</v>
      </c>
      <c r="S12" s="20">
        <v>15</v>
      </c>
      <c r="T12" s="20">
        <v>0</v>
      </c>
      <c r="U12" s="20">
        <v>20</v>
      </c>
      <c r="V12" s="20">
        <v>10</v>
      </c>
      <c r="W12" s="20">
        <v>15</v>
      </c>
      <c r="X12" s="20">
        <v>20</v>
      </c>
      <c r="Y12" s="20">
        <v>10</v>
      </c>
      <c r="Z12" s="20">
        <v>0</v>
      </c>
      <c r="AA12" s="20">
        <v>10</v>
      </c>
      <c r="AB12" s="20">
        <v>15</v>
      </c>
      <c r="AC12" s="20">
        <v>20</v>
      </c>
      <c r="AD12" s="20">
        <v>20</v>
      </c>
      <c r="AE12" s="20">
        <v>30</v>
      </c>
      <c r="AG12" s="20">
        <v>30</v>
      </c>
      <c r="AH12" t="s">
        <v>32</v>
      </c>
    </row>
    <row r="13" spans="1:34" x14ac:dyDescent="0.2">
      <c r="A13" s="20" t="s">
        <v>27</v>
      </c>
      <c r="B13" s="20">
        <v>0</v>
      </c>
      <c r="C13" s="20">
        <v>10</v>
      </c>
      <c r="D13" s="20">
        <v>15</v>
      </c>
      <c r="E13" s="20">
        <v>4</v>
      </c>
      <c r="F13" s="20">
        <v>10</v>
      </c>
      <c r="G13" s="20">
        <v>3</v>
      </c>
      <c r="H13" s="20">
        <v>0</v>
      </c>
      <c r="I13" s="20">
        <v>6</v>
      </c>
      <c r="J13" s="20">
        <v>9</v>
      </c>
      <c r="K13" s="20">
        <v>10</v>
      </c>
      <c r="L13" s="20">
        <v>12</v>
      </c>
      <c r="M13" s="20">
        <v>13</v>
      </c>
      <c r="N13" s="20">
        <v>0</v>
      </c>
      <c r="O13" s="20">
        <v>10</v>
      </c>
      <c r="P13" s="20">
        <v>8</v>
      </c>
      <c r="Q13" s="20">
        <v>7</v>
      </c>
      <c r="R13" s="20">
        <v>9</v>
      </c>
      <c r="S13" s="20">
        <v>12</v>
      </c>
      <c r="T13" s="20">
        <v>0</v>
      </c>
      <c r="U13" s="20">
        <v>12</v>
      </c>
      <c r="V13" s="20">
        <v>20</v>
      </c>
      <c r="W13" s="20">
        <v>10</v>
      </c>
      <c r="X13" s="20">
        <v>10</v>
      </c>
      <c r="Y13" s="20">
        <v>7</v>
      </c>
      <c r="Z13" s="20">
        <v>0</v>
      </c>
      <c r="AA13" s="20">
        <v>10</v>
      </c>
      <c r="AB13" s="20">
        <v>14</v>
      </c>
      <c r="AC13" s="20">
        <v>13</v>
      </c>
      <c r="AD13" s="20">
        <v>13</v>
      </c>
      <c r="AE13" s="20">
        <v>14</v>
      </c>
      <c r="AG13" s="20">
        <v>15</v>
      </c>
      <c r="AH13" t="s">
        <v>27</v>
      </c>
    </row>
  </sheetData>
  <mergeCells count="6">
    <mergeCell ref="Z1:AE1"/>
    <mergeCell ref="A1:A2"/>
    <mergeCell ref="B1:G1"/>
    <mergeCell ref="H1:M1"/>
    <mergeCell ref="N1:S1"/>
    <mergeCell ref="T1:Y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7F55-1CB7-42A8-ADE6-85C3C9212C2E}">
  <dimension ref="A1:AP46"/>
  <sheetViews>
    <sheetView tabSelected="1" topLeftCell="A4" zoomScale="70" zoomScaleNormal="70" workbookViewId="0">
      <selection activeCell="AF13" sqref="AF13"/>
    </sheetView>
  </sheetViews>
  <sheetFormatPr defaultRowHeight="15" x14ac:dyDescent="0.2"/>
  <cols>
    <col min="1" max="1" width="8.47265625" style="4" bestFit="1" customWidth="1"/>
    <col min="2" max="2" width="7.93359375" style="4" bestFit="1" customWidth="1"/>
    <col min="3" max="3" width="9.14453125" customWidth="1"/>
    <col min="26" max="26" width="8.7421875" style="8"/>
  </cols>
  <sheetData>
    <row r="1" spans="1:42" s="2" customFormat="1" x14ac:dyDescent="0.2">
      <c r="A1" s="24"/>
      <c r="B1" s="25" t="s">
        <v>5</v>
      </c>
      <c r="C1" s="25"/>
      <c r="D1" s="25"/>
      <c r="E1" s="25"/>
      <c r="F1" s="25"/>
      <c r="G1" s="25"/>
      <c r="H1" s="26" t="s">
        <v>6</v>
      </c>
      <c r="I1" s="26"/>
      <c r="J1" s="26"/>
      <c r="K1" s="26"/>
      <c r="L1" s="26"/>
      <c r="M1" s="26"/>
      <c r="N1" s="27" t="s">
        <v>7</v>
      </c>
      <c r="O1" s="27"/>
      <c r="P1" s="27"/>
      <c r="Q1" s="27"/>
      <c r="R1" s="27"/>
      <c r="S1" s="27"/>
      <c r="T1" s="26" t="s">
        <v>8</v>
      </c>
      <c r="U1" s="26"/>
      <c r="V1" s="26"/>
      <c r="W1" s="26"/>
      <c r="X1" s="26"/>
      <c r="Y1" s="26"/>
      <c r="Z1" s="25" t="s">
        <v>9</v>
      </c>
      <c r="AA1" s="25"/>
      <c r="AB1" s="25"/>
      <c r="AC1" s="25"/>
      <c r="AD1" s="25"/>
      <c r="AE1" s="25"/>
    </row>
    <row r="2" spans="1:42" s="2" customFormat="1" x14ac:dyDescent="0.2">
      <c r="A2" s="24"/>
      <c r="B2" s="11" t="s">
        <v>10</v>
      </c>
      <c r="C2" s="11" t="s">
        <v>0</v>
      </c>
      <c r="D2" s="11" t="s">
        <v>1</v>
      </c>
      <c r="E2" s="11" t="s">
        <v>2</v>
      </c>
      <c r="F2" s="11" t="s">
        <v>3</v>
      </c>
      <c r="G2" s="11" t="s">
        <v>4</v>
      </c>
      <c r="H2" s="12" t="s">
        <v>10</v>
      </c>
      <c r="I2" s="12" t="s">
        <v>0</v>
      </c>
      <c r="J2" s="12" t="s">
        <v>1</v>
      </c>
      <c r="K2" s="12" t="s">
        <v>2</v>
      </c>
      <c r="L2" s="12" t="s">
        <v>3</v>
      </c>
      <c r="M2" s="12" t="s">
        <v>4</v>
      </c>
      <c r="N2" s="13" t="s">
        <v>10</v>
      </c>
      <c r="O2" s="13" t="s">
        <v>0</v>
      </c>
      <c r="P2" s="13" t="s">
        <v>1</v>
      </c>
      <c r="Q2" s="13" t="s">
        <v>2</v>
      </c>
      <c r="R2" s="13" t="s">
        <v>3</v>
      </c>
      <c r="S2" s="13" t="s">
        <v>4</v>
      </c>
      <c r="T2" s="12" t="s">
        <v>10</v>
      </c>
      <c r="U2" s="12" t="s">
        <v>0</v>
      </c>
      <c r="V2" s="12" t="s">
        <v>1</v>
      </c>
      <c r="W2" s="12" t="s">
        <v>2</v>
      </c>
      <c r="X2" s="12" t="s">
        <v>3</v>
      </c>
      <c r="Y2" s="12" t="s">
        <v>4</v>
      </c>
      <c r="Z2" s="13" t="s">
        <v>10</v>
      </c>
      <c r="AA2" s="11" t="s">
        <v>0</v>
      </c>
      <c r="AB2" s="11" t="s">
        <v>1</v>
      </c>
      <c r="AC2" s="11" t="s">
        <v>2</v>
      </c>
      <c r="AD2" s="11" t="s">
        <v>3</v>
      </c>
      <c r="AE2" s="11" t="s">
        <v>4</v>
      </c>
    </row>
    <row r="3" spans="1:42" s="3" customFormat="1" x14ac:dyDescent="0.2">
      <c r="A3" s="11" t="s">
        <v>10</v>
      </c>
      <c r="B3" s="14">
        <v>0</v>
      </c>
      <c r="C3" s="14">
        <v>18</v>
      </c>
      <c r="D3" s="14">
        <v>25</v>
      </c>
      <c r="E3" s="14">
        <v>12</v>
      </c>
      <c r="F3" s="14">
        <v>40</v>
      </c>
      <c r="G3" s="14">
        <v>20</v>
      </c>
      <c r="H3" s="15">
        <v>0</v>
      </c>
      <c r="I3" s="15">
        <v>25</v>
      </c>
      <c r="J3" s="15">
        <v>15</v>
      </c>
      <c r="K3" s="15">
        <v>30</v>
      </c>
      <c r="L3" s="15">
        <v>9</v>
      </c>
      <c r="M3" s="15">
        <v>40</v>
      </c>
      <c r="N3" s="14">
        <v>0</v>
      </c>
      <c r="O3" s="14">
        <v>10</v>
      </c>
      <c r="P3" s="14">
        <v>30</v>
      </c>
      <c r="Q3" s="14">
        <v>25</v>
      </c>
      <c r="R3" s="14">
        <v>20</v>
      </c>
      <c r="S3" s="14">
        <v>35</v>
      </c>
      <c r="T3" s="15">
        <v>0</v>
      </c>
      <c r="U3" s="15">
        <v>25</v>
      </c>
      <c r="V3" s="15">
        <v>15</v>
      </c>
      <c r="W3" s="15">
        <v>30</v>
      </c>
      <c r="X3" s="15">
        <v>10</v>
      </c>
      <c r="Y3" s="15">
        <v>35</v>
      </c>
      <c r="Z3" s="14">
        <v>0</v>
      </c>
      <c r="AA3" s="14">
        <v>22</v>
      </c>
      <c r="AB3" s="14">
        <v>18</v>
      </c>
      <c r="AC3" s="14">
        <v>30</v>
      </c>
      <c r="AD3" s="14">
        <v>10</v>
      </c>
      <c r="AE3" s="14">
        <v>38</v>
      </c>
    </row>
    <row r="4" spans="1:42" x14ac:dyDescent="0.2">
      <c r="A4" s="11" t="s">
        <v>0</v>
      </c>
      <c r="B4" s="14">
        <v>18</v>
      </c>
      <c r="C4" s="14">
        <v>0</v>
      </c>
      <c r="D4" s="14">
        <v>38</v>
      </c>
      <c r="E4" s="14">
        <v>27</v>
      </c>
      <c r="F4" s="14">
        <v>5</v>
      </c>
      <c r="G4" s="14">
        <v>48</v>
      </c>
      <c r="H4" s="15">
        <v>25</v>
      </c>
      <c r="I4" s="15">
        <v>0</v>
      </c>
      <c r="J4" s="15">
        <v>37</v>
      </c>
      <c r="K4" s="15">
        <v>8</v>
      </c>
      <c r="L4" s="15">
        <v>44</v>
      </c>
      <c r="M4" s="15">
        <v>13</v>
      </c>
      <c r="N4" s="14">
        <v>10</v>
      </c>
      <c r="O4" s="14">
        <v>0</v>
      </c>
      <c r="P4" s="14">
        <v>20</v>
      </c>
      <c r="Q4" s="14">
        <v>42</v>
      </c>
      <c r="R4" s="14">
        <v>11</v>
      </c>
      <c r="S4" s="14">
        <v>18</v>
      </c>
      <c r="T4" s="15">
        <v>25</v>
      </c>
      <c r="U4" s="15">
        <v>0</v>
      </c>
      <c r="V4" s="15">
        <v>20</v>
      </c>
      <c r="W4" s="15">
        <v>40</v>
      </c>
      <c r="X4" s="15">
        <v>11</v>
      </c>
      <c r="Y4" s="15">
        <v>18</v>
      </c>
      <c r="Z4" s="14">
        <v>22</v>
      </c>
      <c r="AA4" s="14">
        <v>0</v>
      </c>
      <c r="AB4" s="14">
        <v>16</v>
      </c>
      <c r="AC4" s="14">
        <v>38</v>
      </c>
      <c r="AD4" s="14">
        <v>9</v>
      </c>
      <c r="AE4" s="14">
        <v>18</v>
      </c>
    </row>
    <row r="5" spans="1:42" x14ac:dyDescent="0.2">
      <c r="A5" s="11" t="s">
        <v>1</v>
      </c>
      <c r="B5" s="14">
        <v>25</v>
      </c>
      <c r="C5" s="14">
        <v>38</v>
      </c>
      <c r="D5" s="14">
        <v>0</v>
      </c>
      <c r="E5" s="14">
        <v>43</v>
      </c>
      <c r="F5" s="14">
        <v>37</v>
      </c>
      <c r="G5" s="14">
        <v>6</v>
      </c>
      <c r="H5" s="15">
        <v>15</v>
      </c>
      <c r="I5" s="15">
        <v>37</v>
      </c>
      <c r="J5" s="15">
        <v>0</v>
      </c>
      <c r="K5" s="15">
        <v>42</v>
      </c>
      <c r="L5" s="15">
        <v>23</v>
      </c>
      <c r="M5" s="15">
        <v>47</v>
      </c>
      <c r="N5" s="14">
        <v>30</v>
      </c>
      <c r="O5" s="14">
        <v>20</v>
      </c>
      <c r="P5" s="14">
        <v>0</v>
      </c>
      <c r="Q5" s="14">
        <v>8</v>
      </c>
      <c r="R5" s="14">
        <v>38</v>
      </c>
      <c r="S5" s="14">
        <v>28</v>
      </c>
      <c r="T5" s="15">
        <v>15</v>
      </c>
      <c r="U5" s="15">
        <v>20</v>
      </c>
      <c r="V5" s="15">
        <v>0</v>
      </c>
      <c r="W5" s="15">
        <v>8</v>
      </c>
      <c r="X5" s="15">
        <v>38</v>
      </c>
      <c r="Y5" s="15">
        <v>28</v>
      </c>
      <c r="Z5" s="14">
        <v>18</v>
      </c>
      <c r="AA5" s="14">
        <v>16</v>
      </c>
      <c r="AB5" s="14">
        <v>0</v>
      </c>
      <c r="AC5" s="14">
        <v>10</v>
      </c>
      <c r="AD5" s="14">
        <v>36</v>
      </c>
      <c r="AE5" s="14">
        <v>30</v>
      </c>
    </row>
    <row r="6" spans="1:42" x14ac:dyDescent="0.2">
      <c r="A6" s="11" t="s">
        <v>2</v>
      </c>
      <c r="B6" s="14">
        <v>12</v>
      </c>
      <c r="C6" s="14">
        <v>27</v>
      </c>
      <c r="D6" s="14">
        <v>43</v>
      </c>
      <c r="E6" s="14">
        <v>0</v>
      </c>
      <c r="F6" s="14">
        <v>8</v>
      </c>
      <c r="G6" s="14">
        <v>45</v>
      </c>
      <c r="H6" s="15">
        <v>30</v>
      </c>
      <c r="I6" s="15">
        <v>8</v>
      </c>
      <c r="J6" s="15">
        <v>42</v>
      </c>
      <c r="K6" s="15">
        <v>0</v>
      </c>
      <c r="L6" s="15">
        <v>19</v>
      </c>
      <c r="M6" s="15">
        <v>43</v>
      </c>
      <c r="N6" s="14">
        <v>25</v>
      </c>
      <c r="O6" s="14">
        <v>42</v>
      </c>
      <c r="P6" s="14">
        <v>8</v>
      </c>
      <c r="Q6" s="14">
        <v>0</v>
      </c>
      <c r="R6" s="14">
        <v>30</v>
      </c>
      <c r="S6" s="14">
        <v>16</v>
      </c>
      <c r="T6" s="15">
        <v>30</v>
      </c>
      <c r="U6" s="15">
        <v>40</v>
      </c>
      <c r="V6" s="15">
        <v>8</v>
      </c>
      <c r="W6" s="15">
        <v>0</v>
      </c>
      <c r="X6" s="15">
        <v>25</v>
      </c>
      <c r="Y6" s="15">
        <v>16</v>
      </c>
      <c r="Z6" s="14">
        <v>30</v>
      </c>
      <c r="AA6" s="14">
        <v>38</v>
      </c>
      <c r="AB6" s="14">
        <v>10</v>
      </c>
      <c r="AC6" s="14">
        <v>0</v>
      </c>
      <c r="AD6" s="14">
        <v>24</v>
      </c>
      <c r="AE6" s="14">
        <v>18</v>
      </c>
    </row>
    <row r="7" spans="1:42" x14ac:dyDescent="0.2">
      <c r="A7" s="11" t="s">
        <v>3</v>
      </c>
      <c r="B7" s="14">
        <v>40</v>
      </c>
      <c r="C7" s="14">
        <v>5</v>
      </c>
      <c r="D7" s="14">
        <v>37</v>
      </c>
      <c r="E7" s="14">
        <v>8</v>
      </c>
      <c r="F7" s="14">
        <v>0</v>
      </c>
      <c r="G7" s="14">
        <v>39</v>
      </c>
      <c r="H7" s="15">
        <v>9</v>
      </c>
      <c r="I7" s="15">
        <v>44</v>
      </c>
      <c r="J7" s="15">
        <v>23</v>
      </c>
      <c r="K7" s="15">
        <v>19</v>
      </c>
      <c r="L7" s="15">
        <v>0</v>
      </c>
      <c r="M7" s="15">
        <v>28</v>
      </c>
      <c r="N7" s="14">
        <v>20</v>
      </c>
      <c r="O7" s="14">
        <v>11</v>
      </c>
      <c r="P7" s="14">
        <v>38</v>
      </c>
      <c r="Q7" s="14">
        <v>30</v>
      </c>
      <c r="R7" s="14">
        <v>0</v>
      </c>
      <c r="S7" s="14">
        <v>42</v>
      </c>
      <c r="T7" s="15">
        <v>10</v>
      </c>
      <c r="U7" s="15">
        <v>11</v>
      </c>
      <c r="V7" s="15">
        <v>38</v>
      </c>
      <c r="W7" s="15">
        <v>25</v>
      </c>
      <c r="X7" s="15">
        <v>0</v>
      </c>
      <c r="Y7" s="15">
        <v>42</v>
      </c>
      <c r="Z7" s="14">
        <v>10</v>
      </c>
      <c r="AA7" s="14">
        <v>9</v>
      </c>
      <c r="AB7" s="14">
        <v>36</v>
      </c>
      <c r="AC7" s="14">
        <v>24</v>
      </c>
      <c r="AD7" s="14">
        <v>0</v>
      </c>
      <c r="AE7" s="14">
        <v>40</v>
      </c>
    </row>
    <row r="8" spans="1:42" x14ac:dyDescent="0.2">
      <c r="A8" s="11" t="s">
        <v>4</v>
      </c>
      <c r="B8" s="14">
        <v>20</v>
      </c>
      <c r="C8" s="14">
        <v>48</v>
      </c>
      <c r="D8" s="14">
        <v>6</v>
      </c>
      <c r="E8" s="14">
        <v>45</v>
      </c>
      <c r="F8" s="14">
        <v>39</v>
      </c>
      <c r="G8" s="14">
        <v>0</v>
      </c>
      <c r="H8" s="15">
        <v>40</v>
      </c>
      <c r="I8" s="15">
        <v>13</v>
      </c>
      <c r="J8" s="15">
        <v>47</v>
      </c>
      <c r="K8" s="15">
        <v>43</v>
      </c>
      <c r="L8" s="15">
        <v>28</v>
      </c>
      <c r="M8" s="15">
        <v>0</v>
      </c>
      <c r="N8" s="14">
        <v>35</v>
      </c>
      <c r="O8" s="14">
        <v>18</v>
      </c>
      <c r="P8" s="14">
        <v>28</v>
      </c>
      <c r="Q8" s="14">
        <v>16</v>
      </c>
      <c r="R8" s="14">
        <v>42</v>
      </c>
      <c r="S8" s="14">
        <v>0</v>
      </c>
      <c r="T8" s="15">
        <v>35</v>
      </c>
      <c r="U8" s="15">
        <v>18</v>
      </c>
      <c r="V8" s="15">
        <v>28</v>
      </c>
      <c r="W8" s="15">
        <v>16</v>
      </c>
      <c r="X8" s="15">
        <v>42</v>
      </c>
      <c r="Y8" s="15">
        <v>0</v>
      </c>
      <c r="Z8" s="14">
        <v>38</v>
      </c>
      <c r="AA8" s="14">
        <v>18</v>
      </c>
      <c r="AB8" s="14">
        <v>30</v>
      </c>
      <c r="AC8" s="14">
        <v>18</v>
      </c>
      <c r="AD8" s="14">
        <v>40</v>
      </c>
      <c r="AE8" s="14">
        <v>0</v>
      </c>
    </row>
    <row r="9" spans="1:42" x14ac:dyDescent="0.2">
      <c r="A9" s="4" t="s">
        <v>12</v>
      </c>
      <c r="C9" s="8">
        <v>50</v>
      </c>
      <c r="H9" s="6">
        <v>50</v>
      </c>
      <c r="N9" s="9">
        <v>50</v>
      </c>
      <c r="T9" s="6">
        <v>50</v>
      </c>
      <c r="Z9" s="9">
        <v>50</v>
      </c>
    </row>
    <row r="10" spans="1:42" x14ac:dyDescent="0.2">
      <c r="A10" s="4" t="s">
        <v>20</v>
      </c>
      <c r="B10" s="4">
        <v>0</v>
      </c>
      <c r="C10" s="8">
        <v>23</v>
      </c>
      <c r="D10">
        <v>8</v>
      </c>
      <c r="E10">
        <v>12</v>
      </c>
      <c r="F10">
        <v>8</v>
      </c>
      <c r="G10">
        <v>10</v>
      </c>
      <c r="H10" s="6">
        <v>0</v>
      </c>
      <c r="I10" s="7">
        <v>25</v>
      </c>
      <c r="J10" s="7">
        <v>18</v>
      </c>
      <c r="K10" s="7">
        <v>9</v>
      </c>
      <c r="L10" s="7">
        <v>11</v>
      </c>
      <c r="M10" s="7">
        <v>13</v>
      </c>
      <c r="N10" s="9">
        <v>0</v>
      </c>
      <c r="O10" s="7">
        <v>3</v>
      </c>
      <c r="P10" s="7">
        <v>23</v>
      </c>
      <c r="Q10" s="7">
        <v>15</v>
      </c>
      <c r="R10" s="7">
        <v>7</v>
      </c>
      <c r="S10" s="7">
        <v>9</v>
      </c>
      <c r="T10" s="6">
        <v>0</v>
      </c>
      <c r="U10" s="7">
        <v>4</v>
      </c>
      <c r="V10" s="7">
        <v>17</v>
      </c>
      <c r="W10" s="7">
        <v>4</v>
      </c>
      <c r="X10" s="7">
        <v>7</v>
      </c>
      <c r="Y10" s="7">
        <v>11</v>
      </c>
      <c r="Z10" s="9">
        <v>0</v>
      </c>
      <c r="AA10" s="7">
        <v>16</v>
      </c>
      <c r="AB10" s="7">
        <v>8</v>
      </c>
      <c r="AC10" s="7">
        <v>10</v>
      </c>
      <c r="AD10" s="7">
        <v>10</v>
      </c>
      <c r="AE10" s="7">
        <v>8</v>
      </c>
    </row>
    <row r="11" spans="1:42" x14ac:dyDescent="0.2">
      <c r="A11" s="4" t="s">
        <v>24</v>
      </c>
      <c r="B11" s="4">
        <v>0</v>
      </c>
      <c r="C11" s="20">
        <v>2</v>
      </c>
      <c r="D11" s="20">
        <v>1</v>
      </c>
      <c r="E11" s="20">
        <v>1</v>
      </c>
      <c r="F11" s="20">
        <v>0.75</v>
      </c>
      <c r="G11" s="20">
        <v>0.75</v>
      </c>
      <c r="H11" s="20">
        <v>0</v>
      </c>
      <c r="I11" s="20">
        <v>1</v>
      </c>
      <c r="J11" s="20">
        <v>1</v>
      </c>
      <c r="K11" s="20">
        <v>1</v>
      </c>
      <c r="L11" s="20">
        <v>1</v>
      </c>
      <c r="M11" s="20">
        <v>2</v>
      </c>
      <c r="N11" s="20">
        <v>0</v>
      </c>
      <c r="O11" s="20">
        <v>1</v>
      </c>
      <c r="P11" s="20">
        <v>2</v>
      </c>
      <c r="Q11" s="20">
        <v>1</v>
      </c>
      <c r="R11" s="20">
        <v>0.75</v>
      </c>
      <c r="S11" s="20">
        <v>2</v>
      </c>
      <c r="T11" s="20">
        <v>0</v>
      </c>
      <c r="U11" s="20">
        <v>1</v>
      </c>
      <c r="V11" s="20">
        <v>2</v>
      </c>
      <c r="W11" s="20">
        <v>1</v>
      </c>
      <c r="X11" s="20">
        <v>1</v>
      </c>
      <c r="Y11" s="20">
        <v>1</v>
      </c>
      <c r="Z11" s="20">
        <v>0</v>
      </c>
      <c r="AA11" s="20">
        <v>2</v>
      </c>
      <c r="AB11" s="20">
        <v>1</v>
      </c>
      <c r="AC11" s="20">
        <v>1</v>
      </c>
      <c r="AD11" s="20">
        <v>1</v>
      </c>
      <c r="AE11" s="20">
        <v>1</v>
      </c>
      <c r="AG11" s="23">
        <v>5</v>
      </c>
      <c r="AH11" t="s">
        <v>31</v>
      </c>
      <c r="AI11" t="s">
        <v>44</v>
      </c>
    </row>
    <row r="12" spans="1:42" x14ac:dyDescent="0.2">
      <c r="A12" s="4" t="s">
        <v>25</v>
      </c>
      <c r="B12" s="4">
        <v>0</v>
      </c>
      <c r="C12" s="4">
        <v>10</v>
      </c>
      <c r="D12" s="4">
        <v>10</v>
      </c>
      <c r="E12" s="4">
        <v>5</v>
      </c>
      <c r="F12" s="4">
        <v>20</v>
      </c>
      <c r="G12" s="4">
        <v>20</v>
      </c>
      <c r="H12" s="4">
        <v>0</v>
      </c>
      <c r="I12" s="4">
        <v>20</v>
      </c>
      <c r="J12" s="4">
        <v>20</v>
      </c>
      <c r="K12" s="4">
        <v>15</v>
      </c>
      <c r="L12" s="4">
        <v>10</v>
      </c>
      <c r="M12" s="4">
        <v>5</v>
      </c>
      <c r="N12" s="4">
        <v>0</v>
      </c>
      <c r="O12" s="4">
        <v>5</v>
      </c>
      <c r="P12" s="4">
        <v>15</v>
      </c>
      <c r="Q12" s="4">
        <v>20</v>
      </c>
      <c r="R12" s="4">
        <v>10</v>
      </c>
      <c r="S12" s="4">
        <v>15</v>
      </c>
      <c r="T12" s="4">
        <v>0</v>
      </c>
      <c r="U12" s="4">
        <v>20</v>
      </c>
      <c r="V12" s="4">
        <v>10</v>
      </c>
      <c r="W12" s="4">
        <v>15</v>
      </c>
      <c r="X12" s="4">
        <v>20</v>
      </c>
      <c r="Y12" s="4">
        <v>10</v>
      </c>
      <c r="Z12" s="4">
        <v>0</v>
      </c>
      <c r="AA12" s="4">
        <v>10</v>
      </c>
      <c r="AB12" s="4">
        <v>15</v>
      </c>
      <c r="AC12" s="4">
        <v>20</v>
      </c>
      <c r="AD12" s="4">
        <v>20</v>
      </c>
      <c r="AE12" s="4">
        <v>30</v>
      </c>
      <c r="AG12" s="20">
        <v>30</v>
      </c>
      <c r="AH12" t="s">
        <v>32</v>
      </c>
      <c r="AI12" t="s">
        <v>45</v>
      </c>
    </row>
    <row r="13" spans="1:42" x14ac:dyDescent="0.2">
      <c r="A13" s="4" t="s">
        <v>27</v>
      </c>
      <c r="B13" s="4">
        <v>0</v>
      </c>
      <c r="C13" s="4">
        <v>0.17</v>
      </c>
      <c r="D13" s="4">
        <v>0.25</v>
      </c>
      <c r="E13" s="4">
        <v>7.0000000000000007E-2</v>
      </c>
      <c r="F13" s="4">
        <v>0.17</v>
      </c>
      <c r="G13" s="4">
        <v>0.05</v>
      </c>
      <c r="H13" s="4">
        <v>0</v>
      </c>
      <c r="I13" s="4">
        <v>0.1</v>
      </c>
      <c r="J13" s="4">
        <v>0.15</v>
      </c>
      <c r="K13" s="4">
        <v>0.17</v>
      </c>
      <c r="L13" s="4">
        <v>0.2</v>
      </c>
      <c r="M13" s="4">
        <v>0.2</v>
      </c>
      <c r="N13" s="4">
        <v>0</v>
      </c>
      <c r="O13" s="4">
        <v>0.17</v>
      </c>
      <c r="P13" s="4">
        <v>0.13</v>
      </c>
      <c r="Q13" s="4">
        <v>0.12</v>
      </c>
      <c r="R13" s="4">
        <v>0.15</v>
      </c>
      <c r="S13" s="4">
        <v>0.2</v>
      </c>
      <c r="T13" s="4">
        <v>0</v>
      </c>
      <c r="U13" s="4">
        <v>0.2</v>
      </c>
      <c r="V13" s="4">
        <v>0.3</v>
      </c>
      <c r="W13" s="4">
        <v>0.17</v>
      </c>
      <c r="X13" s="4">
        <v>0.17</v>
      </c>
      <c r="Y13" s="4">
        <v>0.2</v>
      </c>
      <c r="Z13" s="4">
        <v>0</v>
      </c>
      <c r="AA13" s="4">
        <v>0.2</v>
      </c>
      <c r="AB13" s="4">
        <v>0.3</v>
      </c>
      <c r="AC13" s="4">
        <v>0.17</v>
      </c>
      <c r="AD13" s="4">
        <v>0.17</v>
      </c>
      <c r="AE13" s="4">
        <v>0.23</v>
      </c>
      <c r="AG13" s="20">
        <v>0.25</v>
      </c>
      <c r="AH13" t="s">
        <v>27</v>
      </c>
      <c r="AI13" t="s">
        <v>44</v>
      </c>
    </row>
    <row r="14" spans="1:42" s="2" customFormat="1" x14ac:dyDescent="0.2">
      <c r="A14" s="24"/>
      <c r="B14" s="25" t="s">
        <v>5</v>
      </c>
      <c r="C14" s="25"/>
      <c r="D14" s="25"/>
      <c r="E14" s="25"/>
      <c r="F14" s="25"/>
      <c r="G14" s="25"/>
      <c r="H14" s="26" t="s">
        <v>6</v>
      </c>
      <c r="I14" s="26"/>
      <c r="J14" s="26"/>
      <c r="K14" s="26"/>
      <c r="L14" s="26"/>
      <c r="M14" s="26"/>
      <c r="N14" s="27" t="s">
        <v>7</v>
      </c>
      <c r="O14" s="27"/>
      <c r="P14" s="27"/>
      <c r="Q14" s="27"/>
      <c r="R14" s="27"/>
      <c r="S14" s="27"/>
      <c r="T14" s="26" t="s">
        <v>8</v>
      </c>
      <c r="U14" s="26"/>
      <c r="V14" s="26"/>
      <c r="W14" s="26"/>
      <c r="X14" s="26"/>
      <c r="Y14" s="26"/>
      <c r="Z14" s="25" t="s">
        <v>9</v>
      </c>
      <c r="AA14" s="25"/>
      <c r="AB14" s="25"/>
      <c r="AC14" s="25"/>
      <c r="AD14" s="25"/>
      <c r="AE14" s="25"/>
      <c r="AF14" s="2" t="s">
        <v>28</v>
      </c>
      <c r="AG14" s="28" t="s">
        <v>19</v>
      </c>
      <c r="AH14" s="28"/>
      <c r="AI14" s="28"/>
      <c r="AJ14" s="28"/>
      <c r="AK14" s="28"/>
      <c r="AL14" s="28"/>
      <c r="AM14" s="28"/>
      <c r="AN14" s="28"/>
      <c r="AO14" s="28"/>
      <c r="AP14" s="28"/>
    </row>
    <row r="15" spans="1:42" s="2" customFormat="1" x14ac:dyDescent="0.2">
      <c r="A15" s="24"/>
      <c r="B15" s="11" t="s">
        <v>10</v>
      </c>
      <c r="C15" s="11" t="s">
        <v>0</v>
      </c>
      <c r="D15" s="11" t="s">
        <v>1</v>
      </c>
      <c r="E15" s="11" t="s">
        <v>2</v>
      </c>
      <c r="F15" s="11" t="s">
        <v>3</v>
      </c>
      <c r="G15" s="11" t="s">
        <v>4</v>
      </c>
      <c r="H15" s="12" t="s">
        <v>10</v>
      </c>
      <c r="I15" s="12" t="s">
        <v>0</v>
      </c>
      <c r="J15" s="12" t="s">
        <v>1</v>
      </c>
      <c r="K15" s="12" t="s">
        <v>2</v>
      </c>
      <c r="L15" s="12" t="s">
        <v>3</v>
      </c>
      <c r="M15" s="12" t="s">
        <v>4</v>
      </c>
      <c r="N15" s="13" t="s">
        <v>10</v>
      </c>
      <c r="O15" s="13" t="s">
        <v>0</v>
      </c>
      <c r="P15" s="13" t="s">
        <v>1</v>
      </c>
      <c r="Q15" s="13" t="s">
        <v>2</v>
      </c>
      <c r="R15" s="13" t="s">
        <v>3</v>
      </c>
      <c r="S15" s="13" t="s">
        <v>4</v>
      </c>
      <c r="T15" s="12" t="s">
        <v>10</v>
      </c>
      <c r="U15" s="12" t="s">
        <v>0</v>
      </c>
      <c r="V15" s="12" t="s">
        <v>1</v>
      </c>
      <c r="W15" s="12" t="s">
        <v>2</v>
      </c>
      <c r="X15" s="12" t="s">
        <v>3</v>
      </c>
      <c r="Y15" s="12" t="s">
        <v>4</v>
      </c>
      <c r="Z15" s="13" t="s">
        <v>10</v>
      </c>
      <c r="AA15" s="11" t="s">
        <v>0</v>
      </c>
      <c r="AB15" s="11" t="s">
        <v>1</v>
      </c>
      <c r="AC15" s="11" t="s">
        <v>2</v>
      </c>
      <c r="AD15" s="11" t="s">
        <v>3</v>
      </c>
      <c r="AE15" s="11" t="s">
        <v>4</v>
      </c>
      <c r="AG15" s="2" t="s">
        <v>14</v>
      </c>
      <c r="AH15" s="2" t="s">
        <v>15</v>
      </c>
      <c r="AI15" s="2" t="s">
        <v>16</v>
      </c>
      <c r="AJ15" s="2" t="s">
        <v>17</v>
      </c>
      <c r="AK15" s="2" t="s">
        <v>18</v>
      </c>
    </row>
    <row r="16" spans="1:42" s="3" customFormat="1" x14ac:dyDescent="0.2">
      <c r="A16" s="11" t="s">
        <v>10</v>
      </c>
      <c r="B16" s="16">
        <v>0</v>
      </c>
      <c r="C16" s="16">
        <v>0</v>
      </c>
      <c r="D16" s="16">
        <v>0</v>
      </c>
      <c r="E16" s="16">
        <v>1</v>
      </c>
      <c r="F16" s="16">
        <v>0</v>
      </c>
      <c r="G16" s="16">
        <v>0</v>
      </c>
      <c r="H16" s="15">
        <v>0</v>
      </c>
      <c r="I16" s="15">
        <v>0</v>
      </c>
      <c r="J16" s="15">
        <v>1</v>
      </c>
      <c r="K16" s="15">
        <v>0</v>
      </c>
      <c r="L16" s="15">
        <v>0</v>
      </c>
      <c r="M16" s="15">
        <v>0</v>
      </c>
      <c r="N16" s="14">
        <v>0</v>
      </c>
      <c r="O16" s="14">
        <v>1</v>
      </c>
      <c r="P16" s="14">
        <v>0</v>
      </c>
      <c r="Q16" s="14">
        <v>0</v>
      </c>
      <c r="R16" s="14">
        <v>0</v>
      </c>
      <c r="S16" s="14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1</v>
      </c>
      <c r="Z16" s="14">
        <v>0</v>
      </c>
      <c r="AA16" s="14">
        <v>0</v>
      </c>
      <c r="AB16" s="14">
        <v>0</v>
      </c>
      <c r="AC16" s="14">
        <v>0</v>
      </c>
      <c r="AD16" s="14">
        <v>1</v>
      </c>
      <c r="AE16" s="14">
        <v>0</v>
      </c>
      <c r="AG16" s="3">
        <f>SUM(C16:G16)</f>
        <v>1</v>
      </c>
      <c r="AH16" s="3">
        <f>SUM(I16:M16)</f>
        <v>1</v>
      </c>
      <c r="AI16" s="3">
        <f>SUM(O16:S16)</f>
        <v>1</v>
      </c>
      <c r="AJ16" s="3">
        <f>SUM(U16:Y16)</f>
        <v>1</v>
      </c>
      <c r="AK16" s="3">
        <f>SUM(AA16:AE16)</f>
        <v>1</v>
      </c>
    </row>
    <row r="17" spans="1:37" x14ac:dyDescent="0.2">
      <c r="A17" s="11" t="s">
        <v>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4">
        <v>1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3">
        <f>SUM(B17:AE17)</f>
        <v>1</v>
      </c>
      <c r="AG17" s="3"/>
      <c r="AH17" s="3"/>
      <c r="AI17" s="3"/>
      <c r="AJ17" s="3"/>
      <c r="AK17" s="3"/>
    </row>
    <row r="18" spans="1:37" x14ac:dyDescent="0.2">
      <c r="A18" s="11" t="s">
        <v>1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5">
        <v>1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3">
        <f t="shared" ref="AF18:AF21" si="0">SUM(B18:AE18)</f>
        <v>1</v>
      </c>
      <c r="AG18" s="3"/>
      <c r="AH18" s="3"/>
      <c r="AI18" s="3"/>
      <c r="AJ18" s="3"/>
      <c r="AK18" s="3"/>
    </row>
    <row r="19" spans="1:37" x14ac:dyDescent="0.2">
      <c r="A19" s="11" t="s">
        <v>2</v>
      </c>
      <c r="B19" s="16">
        <v>1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3">
        <f t="shared" si="0"/>
        <v>1</v>
      </c>
      <c r="AG19" s="3"/>
      <c r="AH19" s="3"/>
      <c r="AI19" s="3"/>
      <c r="AJ19" s="3"/>
      <c r="AK19" s="3"/>
    </row>
    <row r="20" spans="1:37" x14ac:dyDescent="0.2">
      <c r="A20" s="11" t="s">
        <v>3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4">
        <v>1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3">
        <f t="shared" si="0"/>
        <v>1</v>
      </c>
      <c r="AG20" s="3"/>
      <c r="AH20" s="3"/>
      <c r="AI20" s="3"/>
      <c r="AJ20" s="3"/>
      <c r="AK20" s="3"/>
    </row>
    <row r="21" spans="1:37" x14ac:dyDescent="0.2">
      <c r="A21" s="11" t="s">
        <v>4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5">
        <v>1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3">
        <f>SUM(B21:AE21)</f>
        <v>1</v>
      </c>
      <c r="AG21" s="3"/>
      <c r="AH21" s="3"/>
      <c r="AI21" s="3"/>
      <c r="AJ21" s="3"/>
      <c r="AK21" s="3"/>
    </row>
    <row r="22" spans="1:37" x14ac:dyDescent="0.2">
      <c r="A22" s="5"/>
      <c r="B22" s="8"/>
      <c r="C22" s="8"/>
      <c r="D22" s="8"/>
      <c r="E22" s="8"/>
      <c r="F22" s="8"/>
      <c r="G22" s="8"/>
      <c r="H22" s="7"/>
      <c r="I22" s="7"/>
      <c r="J22" s="7"/>
      <c r="K22" s="7"/>
      <c r="L22" s="7"/>
      <c r="M22" s="7"/>
      <c r="N22" s="1"/>
      <c r="O22" s="1"/>
      <c r="P22" s="1"/>
      <c r="Q22" s="1"/>
      <c r="R22" s="1"/>
      <c r="S22" s="1"/>
      <c r="T22" s="7"/>
      <c r="U22" s="7"/>
      <c r="V22" s="7"/>
      <c r="W22" s="7"/>
      <c r="X22" s="7"/>
      <c r="Y22" s="7"/>
      <c r="Z22" s="1"/>
      <c r="AA22" s="1"/>
      <c r="AB22" s="1"/>
      <c r="AC22" s="1"/>
      <c r="AD22" s="1"/>
      <c r="AE22" s="1"/>
      <c r="AF22" s="3"/>
      <c r="AG22" s="3"/>
      <c r="AH22" s="3"/>
      <c r="AI22" s="3"/>
      <c r="AJ22" s="3"/>
      <c r="AK22" s="3"/>
    </row>
    <row r="23" spans="1:37" x14ac:dyDescent="0.2">
      <c r="A23" s="21" t="s">
        <v>13</v>
      </c>
      <c r="B23" s="21">
        <f>SUM(B16:B21)</f>
        <v>1</v>
      </c>
      <c r="C23" s="21">
        <f t="shared" ref="C23:G23" si="1">SUM(C16:C21)</f>
        <v>0</v>
      </c>
      <c r="D23" s="21">
        <f t="shared" si="1"/>
        <v>0</v>
      </c>
      <c r="E23" s="21">
        <f t="shared" si="1"/>
        <v>1</v>
      </c>
      <c r="F23" s="21">
        <f t="shared" si="1"/>
        <v>0</v>
      </c>
      <c r="G23" s="21">
        <f>SUM(G16:G21)</f>
        <v>0</v>
      </c>
      <c r="H23" s="21">
        <f t="shared" ref="H23:AE23" si="2">SUM(H16:H21)</f>
        <v>1</v>
      </c>
      <c r="I23" s="21">
        <f t="shared" si="2"/>
        <v>0</v>
      </c>
      <c r="J23" s="21">
        <f t="shared" si="2"/>
        <v>1</v>
      </c>
      <c r="K23" s="21">
        <f t="shared" si="2"/>
        <v>0</v>
      </c>
      <c r="L23" s="21">
        <f t="shared" si="2"/>
        <v>0</v>
      </c>
      <c r="M23" s="21">
        <f t="shared" si="2"/>
        <v>0</v>
      </c>
      <c r="N23" s="21">
        <f t="shared" si="2"/>
        <v>1</v>
      </c>
      <c r="O23" s="21">
        <f t="shared" si="2"/>
        <v>1</v>
      </c>
      <c r="P23" s="21">
        <f t="shared" si="2"/>
        <v>0</v>
      </c>
      <c r="Q23" s="21">
        <f t="shared" si="2"/>
        <v>0</v>
      </c>
      <c r="R23" s="21">
        <f t="shared" si="2"/>
        <v>0</v>
      </c>
      <c r="S23" s="21">
        <f t="shared" si="2"/>
        <v>0</v>
      </c>
      <c r="T23" s="21">
        <f t="shared" si="2"/>
        <v>1</v>
      </c>
      <c r="U23" s="21">
        <f t="shared" si="2"/>
        <v>0</v>
      </c>
      <c r="V23" s="21">
        <f t="shared" si="2"/>
        <v>0</v>
      </c>
      <c r="W23" s="21">
        <f t="shared" si="2"/>
        <v>0</v>
      </c>
      <c r="X23" s="21">
        <f t="shared" si="2"/>
        <v>0</v>
      </c>
      <c r="Y23" s="21">
        <f t="shared" si="2"/>
        <v>1</v>
      </c>
      <c r="Z23" s="21">
        <f t="shared" si="2"/>
        <v>1</v>
      </c>
      <c r="AA23" s="21">
        <f t="shared" si="2"/>
        <v>0</v>
      </c>
      <c r="AB23" s="21">
        <f t="shared" si="2"/>
        <v>0</v>
      </c>
      <c r="AC23" s="21">
        <f t="shared" si="2"/>
        <v>0</v>
      </c>
      <c r="AD23" s="21">
        <f t="shared" si="2"/>
        <v>1</v>
      </c>
      <c r="AE23" s="21">
        <f t="shared" si="2"/>
        <v>0</v>
      </c>
    </row>
    <row r="24" spans="1:37" x14ac:dyDescent="0.2">
      <c r="A24" s="21"/>
      <c r="B24" s="21">
        <f>B10*B23</f>
        <v>0</v>
      </c>
      <c r="C24" s="21">
        <f>C10*C23</f>
        <v>0</v>
      </c>
      <c r="D24" s="21">
        <f t="shared" ref="D24:G24" si="3">D10*D23</f>
        <v>0</v>
      </c>
      <c r="E24" s="21">
        <f t="shared" si="3"/>
        <v>12</v>
      </c>
      <c r="F24" s="21">
        <f t="shared" si="3"/>
        <v>0</v>
      </c>
      <c r="G24" s="21">
        <f>G10*G23</f>
        <v>0</v>
      </c>
      <c r="H24" s="21">
        <f>H10*H23</f>
        <v>0</v>
      </c>
      <c r="I24" s="21">
        <f t="shared" ref="H24:I24" si="4">I10*I23</f>
        <v>0</v>
      </c>
      <c r="J24" s="21">
        <f t="shared" ref="J24" si="5">J10*J23</f>
        <v>18</v>
      </c>
      <c r="K24" s="21">
        <f t="shared" ref="K24" si="6">K10*K23</f>
        <v>0</v>
      </c>
      <c r="L24" s="21">
        <f t="shared" ref="L24:O24" si="7">L10*L23</f>
        <v>0</v>
      </c>
      <c r="M24" s="21">
        <f t="shared" si="7"/>
        <v>0</v>
      </c>
      <c r="N24" s="21">
        <f t="shared" si="7"/>
        <v>0</v>
      </c>
      <c r="O24" s="21">
        <f t="shared" si="7"/>
        <v>3</v>
      </c>
      <c r="P24" s="21">
        <f t="shared" ref="P24" si="8">P10*P23</f>
        <v>0</v>
      </c>
      <c r="Q24" s="21">
        <f t="shared" ref="Q24" si="9">Q10*Q23</f>
        <v>0</v>
      </c>
      <c r="R24" s="21">
        <f t="shared" ref="R24:U24" si="10">R10*R23</f>
        <v>0</v>
      </c>
      <c r="S24" s="21">
        <f t="shared" si="10"/>
        <v>0</v>
      </c>
      <c r="T24" s="21">
        <f t="shared" si="10"/>
        <v>0</v>
      </c>
      <c r="U24" s="21">
        <f t="shared" si="10"/>
        <v>0</v>
      </c>
      <c r="V24" s="21">
        <f t="shared" ref="V24" si="11">V10*V23</f>
        <v>0</v>
      </c>
      <c r="W24" s="21">
        <f t="shared" ref="W24" si="12">W10*W23</f>
        <v>0</v>
      </c>
      <c r="X24" s="21">
        <f t="shared" ref="X24:AA24" si="13">X10*X23</f>
        <v>0</v>
      </c>
      <c r="Y24" s="21">
        <f t="shared" si="13"/>
        <v>11</v>
      </c>
      <c r="Z24" s="21">
        <f t="shared" si="13"/>
        <v>0</v>
      </c>
      <c r="AA24" s="21">
        <f t="shared" si="13"/>
        <v>0</v>
      </c>
      <c r="AB24" s="21">
        <f t="shared" ref="AB24" si="14">AB10*AB23</f>
        <v>0</v>
      </c>
      <c r="AC24" s="21">
        <f t="shared" ref="AC24" si="15">AC10*AC23</f>
        <v>0</v>
      </c>
      <c r="AD24" s="21">
        <f t="shared" ref="AD24:AE24" si="16">AD10*AD23</f>
        <v>10</v>
      </c>
      <c r="AE24" s="21">
        <f t="shared" si="16"/>
        <v>0</v>
      </c>
    </row>
    <row r="25" spans="1:37" x14ac:dyDescent="0.2">
      <c r="A25" s="21"/>
      <c r="B25" s="21">
        <f>SUM(B24:G24)</f>
        <v>12</v>
      </c>
      <c r="C25" s="21"/>
      <c r="D25" s="21"/>
      <c r="E25" s="21"/>
      <c r="F25" s="21"/>
      <c r="G25" s="21"/>
      <c r="H25" s="21">
        <f>SUM(H24:M24)</f>
        <v>18</v>
      </c>
      <c r="I25" s="21"/>
      <c r="J25" s="21"/>
      <c r="K25" s="21"/>
      <c r="L25" s="21"/>
      <c r="M25" s="21"/>
      <c r="N25" s="21">
        <f t="shared" ref="N25" si="17">SUM(N24:S24)</f>
        <v>3</v>
      </c>
      <c r="O25" s="21"/>
      <c r="P25" s="21"/>
      <c r="Q25" s="21"/>
      <c r="R25" s="21"/>
      <c r="S25" s="21"/>
      <c r="T25" s="21">
        <f t="shared" ref="T25" si="18">SUM(T24:Y24)</f>
        <v>11</v>
      </c>
      <c r="U25" s="21"/>
      <c r="V25" s="21"/>
      <c r="W25" s="21"/>
      <c r="X25" s="21"/>
      <c r="Y25" s="21"/>
      <c r="Z25" s="21">
        <f t="shared" ref="Z25" si="19">SUM(Z24:AE24)</f>
        <v>10</v>
      </c>
      <c r="AA25" s="21"/>
      <c r="AB25" s="21"/>
      <c r="AC25" s="21"/>
      <c r="AD25" s="21"/>
      <c r="AE25" s="21"/>
    </row>
    <row r="26" spans="1:37" x14ac:dyDescent="0.2">
      <c r="A26" s="21" t="s">
        <v>21</v>
      </c>
      <c r="B26" s="22"/>
      <c r="C26" s="22">
        <f>SUM(C16:C21)</f>
        <v>0</v>
      </c>
      <c r="D26" s="22">
        <f t="shared" ref="D26:AE26" si="20">SUM(D16:D21)</f>
        <v>0</v>
      </c>
      <c r="E26" s="22">
        <f t="shared" si="20"/>
        <v>1</v>
      </c>
      <c r="F26" s="22">
        <f t="shared" si="20"/>
        <v>0</v>
      </c>
      <c r="G26" s="22">
        <f t="shared" si="20"/>
        <v>0</v>
      </c>
      <c r="H26" s="22"/>
      <c r="I26" s="22">
        <f>SUM(I16:I21)</f>
        <v>0</v>
      </c>
      <c r="J26" s="22">
        <f>SUM(J16:J21)</f>
        <v>1</v>
      </c>
      <c r="K26" s="22">
        <f>SUM(K16:K21)</f>
        <v>0</v>
      </c>
      <c r="L26" s="22">
        <f t="shared" si="20"/>
        <v>0</v>
      </c>
      <c r="M26" s="22">
        <f t="shared" si="20"/>
        <v>0</v>
      </c>
      <c r="N26" s="22"/>
      <c r="O26" s="22">
        <f t="shared" si="20"/>
        <v>1</v>
      </c>
      <c r="P26" s="22">
        <f t="shared" si="20"/>
        <v>0</v>
      </c>
      <c r="Q26" s="22">
        <f t="shared" si="20"/>
        <v>0</v>
      </c>
      <c r="R26" s="22">
        <f t="shared" si="20"/>
        <v>0</v>
      </c>
      <c r="S26" s="22">
        <f t="shared" si="20"/>
        <v>0</v>
      </c>
      <c r="T26" s="22"/>
      <c r="U26" s="22">
        <f t="shared" si="20"/>
        <v>0</v>
      </c>
      <c r="V26" s="22">
        <f t="shared" si="20"/>
        <v>0</v>
      </c>
      <c r="W26" s="22">
        <f t="shared" si="20"/>
        <v>0</v>
      </c>
      <c r="X26" s="22">
        <f t="shared" si="20"/>
        <v>0</v>
      </c>
      <c r="Y26" s="22">
        <f t="shared" si="20"/>
        <v>1</v>
      </c>
      <c r="Z26" s="22"/>
      <c r="AA26" s="22">
        <f t="shared" si="20"/>
        <v>0</v>
      </c>
      <c r="AB26" s="22">
        <f t="shared" si="20"/>
        <v>0</v>
      </c>
      <c r="AC26" s="22">
        <f t="shared" si="20"/>
        <v>0</v>
      </c>
      <c r="AD26" s="22">
        <f t="shared" si="20"/>
        <v>1</v>
      </c>
      <c r="AE26" s="22">
        <f>SUM(AE16:AE21)</f>
        <v>0</v>
      </c>
    </row>
    <row r="27" spans="1:37" x14ac:dyDescent="0.2">
      <c r="A27" s="21"/>
      <c r="B27" s="21"/>
      <c r="C27" s="22">
        <f>SUM(B17:G17)</f>
        <v>0</v>
      </c>
      <c r="D27" s="22">
        <f>SUM(B18:G18)</f>
        <v>0</v>
      </c>
      <c r="E27" s="22">
        <f>SUM(B19:G19)</f>
        <v>1</v>
      </c>
      <c r="F27" s="22">
        <f>SUM(B20:G20)</f>
        <v>0</v>
      </c>
      <c r="G27" s="22">
        <f>SUM(B21:G21)</f>
        <v>0</v>
      </c>
      <c r="H27" s="21"/>
      <c r="I27" s="22">
        <f>SUM(H17:M17)</f>
        <v>0</v>
      </c>
      <c r="J27" s="22">
        <f>SUM(H18:M18)</f>
        <v>1</v>
      </c>
      <c r="K27" s="22">
        <f>SUM(H19:M19)</f>
        <v>0</v>
      </c>
      <c r="L27" s="22">
        <f>SUM(I20:M20)</f>
        <v>0</v>
      </c>
      <c r="M27" s="22">
        <f>SUM(H21:M21)</f>
        <v>0</v>
      </c>
      <c r="N27" s="21"/>
      <c r="O27" s="22">
        <f>SUM(N17:S17)</f>
        <v>1</v>
      </c>
      <c r="P27" s="22">
        <f>SUM(N18:S18)</f>
        <v>0</v>
      </c>
      <c r="Q27" s="22">
        <f>SUM(N19:S19)</f>
        <v>0</v>
      </c>
      <c r="R27" s="22">
        <f>SUM(N20:S20)</f>
        <v>0</v>
      </c>
      <c r="S27" s="22">
        <f>SUM(N21:S21)</f>
        <v>0</v>
      </c>
      <c r="T27" s="21"/>
      <c r="U27" s="22">
        <f>SUM(T17:Y17)</f>
        <v>0</v>
      </c>
      <c r="V27" s="22">
        <f>SUM(T18:Y18)</f>
        <v>0</v>
      </c>
      <c r="W27" s="22">
        <f>SUM(T19:Y19)</f>
        <v>0</v>
      </c>
      <c r="X27" s="22">
        <f>SUM(T20:Y20)</f>
        <v>0</v>
      </c>
      <c r="Y27" s="22">
        <f>SUM(T21:Y21)</f>
        <v>1</v>
      </c>
      <c r="Z27" s="21"/>
      <c r="AA27" s="22">
        <f>SUM(Z17:AE17)</f>
        <v>0</v>
      </c>
      <c r="AB27" s="22">
        <f>SUM(Z18:AE18)</f>
        <v>0</v>
      </c>
      <c r="AC27" s="22">
        <f>SUM(Z19:AE19)</f>
        <v>0</v>
      </c>
      <c r="AD27" s="22">
        <f>SUM(Z20:AE20)</f>
        <v>1</v>
      </c>
      <c r="AE27" s="22">
        <f>SUM(Z21:AE21)</f>
        <v>0</v>
      </c>
    </row>
    <row r="28" spans="1:37" x14ac:dyDescent="0.2">
      <c r="A28" s="21" t="s">
        <v>22</v>
      </c>
      <c r="B28" s="21">
        <f>B16</f>
        <v>0</v>
      </c>
      <c r="C28" s="21">
        <f>C17</f>
        <v>0</v>
      </c>
      <c r="D28" s="21">
        <f>D18</f>
        <v>0</v>
      </c>
      <c r="E28" s="21">
        <f>E19</f>
        <v>0</v>
      </c>
      <c r="F28" s="21">
        <f>F20</f>
        <v>0</v>
      </c>
      <c r="G28" s="21">
        <f>G21</f>
        <v>0</v>
      </c>
      <c r="H28" s="21">
        <f>H16</f>
        <v>0</v>
      </c>
      <c r="I28" s="21">
        <f>I17</f>
        <v>0</v>
      </c>
      <c r="J28" s="21">
        <f>J18</f>
        <v>0</v>
      </c>
      <c r="K28" s="21">
        <f>K19</f>
        <v>0</v>
      </c>
      <c r="L28" s="21">
        <f>L20</f>
        <v>0</v>
      </c>
      <c r="M28" s="21">
        <f>M21</f>
        <v>0</v>
      </c>
      <c r="N28" s="21">
        <f>N16</f>
        <v>0</v>
      </c>
      <c r="O28" s="21">
        <f>O17</f>
        <v>0</v>
      </c>
      <c r="P28" s="21">
        <f>P18</f>
        <v>0</v>
      </c>
      <c r="Q28" s="21">
        <f>Q19</f>
        <v>0</v>
      </c>
      <c r="R28" s="21">
        <f>R20</f>
        <v>0</v>
      </c>
      <c r="S28" s="21">
        <f>S21</f>
        <v>0</v>
      </c>
      <c r="T28" s="21">
        <f>T16</f>
        <v>0</v>
      </c>
      <c r="U28" s="21">
        <f>U17</f>
        <v>0</v>
      </c>
      <c r="V28" s="21">
        <f>V18</f>
        <v>0</v>
      </c>
      <c r="W28" s="21">
        <f>W19</f>
        <v>0</v>
      </c>
      <c r="X28" s="21">
        <f>X20</f>
        <v>0</v>
      </c>
      <c r="Y28" s="21">
        <f>Y21</f>
        <v>0</v>
      </c>
      <c r="Z28" s="21">
        <f>Z16</f>
        <v>0</v>
      </c>
      <c r="AA28" s="21">
        <f>AA17</f>
        <v>0</v>
      </c>
      <c r="AB28" s="21">
        <f>AB18</f>
        <v>0</v>
      </c>
      <c r="AC28" s="21">
        <f>AC19</f>
        <v>0</v>
      </c>
      <c r="AD28" s="21">
        <f>AD20</f>
        <v>0</v>
      </c>
      <c r="AE28" s="21">
        <f>AE21</f>
        <v>0</v>
      </c>
    </row>
    <row r="29" spans="1:37" x14ac:dyDescent="0.2">
      <c r="A29" s="21" t="s">
        <v>23</v>
      </c>
      <c r="B29" s="21" t="s">
        <v>29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 spans="1:37" x14ac:dyDescent="0.2">
      <c r="A30" s="21" t="s">
        <v>26</v>
      </c>
      <c r="B30" s="21">
        <f>SUM(B16:B21)</f>
        <v>1</v>
      </c>
      <c r="C30" s="21">
        <f t="shared" ref="C30:AE30" si="21">SUM(C16:C21)</f>
        <v>0</v>
      </c>
      <c r="D30" s="21">
        <f t="shared" si="21"/>
        <v>0</v>
      </c>
      <c r="E30" s="21">
        <f t="shared" si="21"/>
        <v>1</v>
      </c>
      <c r="F30" s="21">
        <f t="shared" si="21"/>
        <v>0</v>
      </c>
      <c r="G30" s="21">
        <f t="shared" si="21"/>
        <v>0</v>
      </c>
      <c r="H30" s="21">
        <f>SUM(H16:H21)</f>
        <v>1</v>
      </c>
      <c r="I30" s="21">
        <f t="shared" ref="I30:M30" si="22">SUM(I16:I21)</f>
        <v>0</v>
      </c>
      <c r="J30" s="21">
        <f t="shared" si="22"/>
        <v>1</v>
      </c>
      <c r="K30" s="21">
        <f t="shared" si="22"/>
        <v>0</v>
      </c>
      <c r="L30" s="21">
        <f t="shared" si="22"/>
        <v>0</v>
      </c>
      <c r="M30" s="21">
        <f t="shared" si="22"/>
        <v>0</v>
      </c>
      <c r="N30" s="21">
        <f>SUM(N16:N21)</f>
        <v>1</v>
      </c>
      <c r="O30" s="21">
        <f t="shared" ref="O30:S30" si="23">SUM(O16:O21)</f>
        <v>1</v>
      </c>
      <c r="P30" s="21">
        <f t="shared" si="23"/>
        <v>0</v>
      </c>
      <c r="Q30" s="21">
        <f t="shared" si="23"/>
        <v>0</v>
      </c>
      <c r="R30" s="21">
        <f t="shared" si="23"/>
        <v>0</v>
      </c>
      <c r="S30" s="21">
        <f t="shared" si="23"/>
        <v>0</v>
      </c>
      <c r="T30" s="21">
        <f>SUM(T16:T21)</f>
        <v>1</v>
      </c>
      <c r="U30" s="21">
        <f t="shared" ref="U30:Y30" si="24">SUM(U16:U21)</f>
        <v>0</v>
      </c>
      <c r="V30" s="21">
        <f t="shared" si="24"/>
        <v>0</v>
      </c>
      <c r="W30" s="21">
        <f t="shared" si="24"/>
        <v>0</v>
      </c>
      <c r="X30" s="21">
        <f t="shared" si="24"/>
        <v>0</v>
      </c>
      <c r="Y30" s="21">
        <f t="shared" si="24"/>
        <v>1</v>
      </c>
      <c r="Z30" s="21">
        <f>SUM(Z16:Z21)</f>
        <v>1</v>
      </c>
      <c r="AA30" s="21">
        <f t="shared" ref="AA30:AE30" si="25">SUM(AA16:AA21)</f>
        <v>0</v>
      </c>
      <c r="AB30" s="21">
        <f t="shared" si="25"/>
        <v>0</v>
      </c>
      <c r="AC30" s="21">
        <f t="shared" si="25"/>
        <v>0</v>
      </c>
      <c r="AD30" s="21">
        <f t="shared" si="25"/>
        <v>1</v>
      </c>
      <c r="AE30" s="21">
        <f t="shared" si="25"/>
        <v>0</v>
      </c>
    </row>
    <row r="31" spans="1:37" x14ac:dyDescent="0.2">
      <c r="A31" s="21"/>
      <c r="B31" s="21">
        <f>SUM(B30*B11)</f>
        <v>0</v>
      </c>
      <c r="C31" s="21">
        <f t="shared" ref="C31:AE31" si="26">SUM(C30*C11)</f>
        <v>0</v>
      </c>
      <c r="D31" s="21">
        <f t="shared" si="26"/>
        <v>0</v>
      </c>
      <c r="E31" s="21">
        <f t="shared" si="26"/>
        <v>1</v>
      </c>
      <c r="F31" s="21">
        <f t="shared" si="26"/>
        <v>0</v>
      </c>
      <c r="G31" s="21">
        <f t="shared" si="26"/>
        <v>0</v>
      </c>
      <c r="H31" s="21">
        <f>SUM(H30*H11)</f>
        <v>0</v>
      </c>
      <c r="I31" s="21">
        <f t="shared" ref="I31" si="27">SUM(I30*I11)</f>
        <v>0</v>
      </c>
      <c r="J31" s="21">
        <f t="shared" ref="J31" si="28">SUM(J30*J11)</f>
        <v>1</v>
      </c>
      <c r="K31" s="21">
        <f t="shared" ref="K31" si="29">SUM(K30*K11)</f>
        <v>0</v>
      </c>
      <c r="L31" s="21">
        <f t="shared" ref="L31" si="30">SUM(L30*L11)</f>
        <v>0</v>
      </c>
      <c r="M31" s="21">
        <f t="shared" ref="M31" si="31">SUM(M30*M11)</f>
        <v>0</v>
      </c>
      <c r="N31" s="21">
        <f>SUM(N30*N11)</f>
        <v>0</v>
      </c>
      <c r="O31" s="21">
        <f t="shared" ref="O31" si="32">SUM(O30*O11)</f>
        <v>1</v>
      </c>
      <c r="P31" s="21">
        <f t="shared" ref="P31" si="33">SUM(P30*P11)</f>
        <v>0</v>
      </c>
      <c r="Q31" s="21">
        <f t="shared" ref="Q31" si="34">SUM(Q30*Q11)</f>
        <v>0</v>
      </c>
      <c r="R31" s="21">
        <f t="shared" ref="R31" si="35">SUM(R30*R11)</f>
        <v>0</v>
      </c>
      <c r="S31" s="21">
        <f t="shared" ref="S31" si="36">SUM(S30*S11)</f>
        <v>0</v>
      </c>
      <c r="T31" s="21">
        <f>SUM(T30*T11)</f>
        <v>0</v>
      </c>
      <c r="U31" s="21">
        <f t="shared" ref="U31" si="37">SUM(U30*U11)</f>
        <v>0</v>
      </c>
      <c r="V31" s="21">
        <f t="shared" ref="V31" si="38">SUM(V30*V11)</f>
        <v>0</v>
      </c>
      <c r="W31" s="21">
        <f t="shared" ref="W31" si="39">SUM(W30*W11)</f>
        <v>0</v>
      </c>
      <c r="X31" s="21">
        <f t="shared" ref="X31" si="40">SUM(X30*X11)</f>
        <v>0</v>
      </c>
      <c r="Y31" s="21">
        <f t="shared" ref="Y31" si="41">SUM(Y30*Y11)</f>
        <v>1</v>
      </c>
      <c r="Z31" s="21">
        <f>SUM(Z30*Z11)</f>
        <v>0</v>
      </c>
      <c r="AA31" s="21">
        <f t="shared" ref="AA31" si="42">SUM(AA30*AA11)</f>
        <v>0</v>
      </c>
      <c r="AB31" s="21">
        <f t="shared" ref="AB31" si="43">SUM(AB30*AB11)</f>
        <v>0</v>
      </c>
      <c r="AC31" s="21">
        <f t="shared" ref="AC31" si="44">SUM(AC30*AC11)</f>
        <v>0</v>
      </c>
      <c r="AD31" s="21">
        <f t="shared" ref="AD31" si="45">SUM(AD30*AD11)</f>
        <v>1</v>
      </c>
      <c r="AE31" s="21">
        <f>SUM(AE30*AE11)</f>
        <v>0</v>
      </c>
      <c r="AF31" s="29"/>
      <c r="AG31" s="29"/>
      <c r="AH31" s="29"/>
      <c r="AI31" s="29"/>
      <c r="AJ31" s="29"/>
    </row>
    <row r="32" spans="1:37" x14ac:dyDescent="0.2">
      <c r="A32" s="21"/>
      <c r="B32" s="21">
        <f>SUM(B31:G31)</f>
        <v>1</v>
      </c>
      <c r="C32" s="21"/>
      <c r="D32" s="21"/>
      <c r="E32" s="21"/>
      <c r="F32" s="21"/>
      <c r="G32" s="21"/>
      <c r="H32" s="21">
        <f>SUM(H31:M31)</f>
        <v>1</v>
      </c>
      <c r="I32" s="21"/>
      <c r="J32" s="21"/>
      <c r="K32" s="21"/>
      <c r="L32" s="21"/>
      <c r="M32" s="21"/>
      <c r="N32" s="21">
        <f>SUM(N31:S31)</f>
        <v>1</v>
      </c>
      <c r="O32" s="21"/>
      <c r="P32" s="21"/>
      <c r="Q32" s="21"/>
      <c r="R32" s="21"/>
      <c r="S32" s="21"/>
      <c r="T32" s="21">
        <f>SUM(T31:Y31)</f>
        <v>1</v>
      </c>
      <c r="U32" s="21"/>
      <c r="V32" s="21"/>
      <c r="W32" s="21"/>
      <c r="X32" s="21"/>
      <c r="Y32" s="21"/>
      <c r="Z32" s="21">
        <f>SUM(Z31:AE31)</f>
        <v>1</v>
      </c>
      <c r="AA32" s="21"/>
      <c r="AB32" s="21"/>
      <c r="AC32" s="21"/>
      <c r="AD32" s="21"/>
      <c r="AE32" s="21"/>
    </row>
    <row r="33" spans="1:31" x14ac:dyDescent="0.2">
      <c r="A33" s="21" t="s">
        <v>30</v>
      </c>
      <c r="B33" s="21">
        <f>SUM(B16:B21)</f>
        <v>1</v>
      </c>
      <c r="C33" s="21">
        <f t="shared" ref="C33:G33" si="46">SUM(C16:C21)</f>
        <v>0</v>
      </c>
      <c r="D33" s="21">
        <f t="shared" si="46"/>
        <v>0</v>
      </c>
      <c r="E33" s="21">
        <f t="shared" si="46"/>
        <v>1</v>
      </c>
      <c r="F33" s="21">
        <f t="shared" si="46"/>
        <v>0</v>
      </c>
      <c r="G33" s="21">
        <f t="shared" si="46"/>
        <v>0</v>
      </c>
      <c r="H33" s="21">
        <f>SUM(H16:H21)</f>
        <v>1</v>
      </c>
      <c r="I33" s="21">
        <f t="shared" ref="I33:M33" si="47">SUM(I16:I21)</f>
        <v>0</v>
      </c>
      <c r="J33" s="21">
        <f t="shared" si="47"/>
        <v>1</v>
      </c>
      <c r="K33" s="21">
        <f t="shared" si="47"/>
        <v>0</v>
      </c>
      <c r="L33" s="21">
        <f t="shared" si="47"/>
        <v>0</v>
      </c>
      <c r="M33" s="21">
        <f t="shared" si="47"/>
        <v>0</v>
      </c>
      <c r="N33" s="21">
        <f>SUM(N16:N21)</f>
        <v>1</v>
      </c>
      <c r="O33" s="21">
        <f t="shared" ref="O33:S33" si="48">SUM(O16:O21)</f>
        <v>1</v>
      </c>
      <c r="P33" s="21">
        <f t="shared" si="48"/>
        <v>0</v>
      </c>
      <c r="Q33" s="21">
        <f t="shared" si="48"/>
        <v>0</v>
      </c>
      <c r="R33" s="21">
        <f t="shared" si="48"/>
        <v>0</v>
      </c>
      <c r="S33" s="21">
        <f t="shared" si="48"/>
        <v>0</v>
      </c>
      <c r="T33" s="21">
        <f>SUM(T16:T21)</f>
        <v>1</v>
      </c>
      <c r="U33" s="21">
        <f t="shared" ref="U33:Y33" si="49">SUM(U16:U21)</f>
        <v>0</v>
      </c>
      <c r="V33" s="21">
        <f t="shared" si="49"/>
        <v>0</v>
      </c>
      <c r="W33" s="21">
        <f t="shared" si="49"/>
        <v>0</v>
      </c>
      <c r="X33" s="21">
        <f t="shared" si="49"/>
        <v>0</v>
      </c>
      <c r="Y33" s="21">
        <f t="shared" si="49"/>
        <v>1</v>
      </c>
      <c r="Z33" s="21">
        <f>SUM(Z16:Z21)</f>
        <v>1</v>
      </c>
      <c r="AA33" s="21">
        <f t="shared" ref="AA33:AE33" si="50">SUM(AA16:AA21)</f>
        <v>0</v>
      </c>
      <c r="AB33" s="21">
        <f t="shared" si="50"/>
        <v>0</v>
      </c>
      <c r="AC33" s="21">
        <f t="shared" si="50"/>
        <v>0</v>
      </c>
      <c r="AD33" s="21">
        <f t="shared" si="50"/>
        <v>1</v>
      </c>
      <c r="AE33" s="21">
        <f t="shared" si="50"/>
        <v>0</v>
      </c>
    </row>
    <row r="34" spans="1:31" x14ac:dyDescent="0.2">
      <c r="A34" s="21"/>
      <c r="B34" s="21">
        <f>SUM(B33*B12)</f>
        <v>0</v>
      </c>
      <c r="C34" s="21">
        <f t="shared" ref="C34:G34" si="51">SUM(C33*C12)</f>
        <v>0</v>
      </c>
      <c r="D34" s="21">
        <f t="shared" si="51"/>
        <v>0</v>
      </c>
      <c r="E34" s="21">
        <f t="shared" si="51"/>
        <v>5</v>
      </c>
      <c r="F34" s="21">
        <f t="shared" si="51"/>
        <v>0</v>
      </c>
      <c r="G34" s="21">
        <f>SUM(G33*G12)</f>
        <v>0</v>
      </c>
      <c r="H34" s="21">
        <f>SUM(H33*H12)</f>
        <v>0</v>
      </c>
      <c r="I34" s="21">
        <f t="shared" ref="I34" si="52">SUM(I33*I12)</f>
        <v>0</v>
      </c>
      <c r="J34" s="21">
        <f t="shared" ref="J34" si="53">SUM(J33*J12)</f>
        <v>20</v>
      </c>
      <c r="K34" s="21">
        <f t="shared" ref="K34" si="54">SUM(K33*K12)</f>
        <v>0</v>
      </c>
      <c r="L34" s="21">
        <f t="shared" ref="L34" si="55">SUM(L33*L12)</f>
        <v>0</v>
      </c>
      <c r="M34" s="21">
        <f>SUM(M33*M12)</f>
        <v>0</v>
      </c>
      <c r="N34" s="21">
        <f>SUM(N33*N12)</f>
        <v>0</v>
      </c>
      <c r="O34" s="21">
        <f t="shared" ref="O34" si="56">SUM(O33*O12)</f>
        <v>5</v>
      </c>
      <c r="P34" s="21">
        <f t="shared" ref="P34" si="57">SUM(P33*P12)</f>
        <v>0</v>
      </c>
      <c r="Q34" s="21">
        <f t="shared" ref="Q34" si="58">SUM(Q33*Q12)</f>
        <v>0</v>
      </c>
      <c r="R34" s="21">
        <f t="shared" ref="R34" si="59">SUM(R33*R12)</f>
        <v>0</v>
      </c>
      <c r="S34" s="21">
        <f>SUM(S33*S12)</f>
        <v>0</v>
      </c>
      <c r="T34" s="21">
        <f>SUM(T33*T12)</f>
        <v>0</v>
      </c>
      <c r="U34" s="21">
        <f t="shared" ref="U34" si="60">SUM(U33*U12)</f>
        <v>0</v>
      </c>
      <c r="V34" s="21">
        <f t="shared" ref="V34" si="61">SUM(V33*V12)</f>
        <v>0</v>
      </c>
      <c r="W34" s="21">
        <f t="shared" ref="W34" si="62">SUM(W33*W12)</f>
        <v>0</v>
      </c>
      <c r="X34" s="21">
        <f t="shared" ref="X34" si="63">SUM(X33*X12)</f>
        <v>0</v>
      </c>
      <c r="Y34" s="21">
        <f>SUM(Y33*Y12)</f>
        <v>10</v>
      </c>
      <c r="Z34" s="21">
        <f>SUM(Z33*Z12)</f>
        <v>0</v>
      </c>
      <c r="AA34" s="21">
        <f t="shared" ref="AA34" si="64">SUM(AA33*AA12)</f>
        <v>0</v>
      </c>
      <c r="AB34" s="21">
        <f t="shared" ref="AB34" si="65">SUM(AB33*AB12)</f>
        <v>0</v>
      </c>
      <c r="AC34" s="21">
        <f t="shared" ref="AC34" si="66">SUM(AC33*AC12)</f>
        <v>0</v>
      </c>
      <c r="AD34" s="21">
        <f t="shared" ref="AD34" si="67">SUM(AD33*AD12)</f>
        <v>20</v>
      </c>
      <c r="AE34" s="21">
        <f>SUM(AE33*AE12)</f>
        <v>0</v>
      </c>
    </row>
    <row r="35" spans="1:31" x14ac:dyDescent="0.2">
      <c r="A35" s="21"/>
      <c r="B35" s="21">
        <f>SUM(B34:G34)</f>
        <v>5</v>
      </c>
      <c r="C35" s="21"/>
      <c r="D35" s="21"/>
      <c r="E35" s="21"/>
      <c r="F35" s="21"/>
      <c r="G35" s="21"/>
      <c r="H35" s="21">
        <f>SUM(H34:M34)</f>
        <v>20</v>
      </c>
      <c r="I35" s="21"/>
      <c r="J35" s="21"/>
      <c r="K35" s="21"/>
      <c r="L35" s="21"/>
      <c r="M35" s="21"/>
      <c r="N35" s="21">
        <f>SUM(N34:S34)</f>
        <v>5</v>
      </c>
      <c r="O35" s="21"/>
      <c r="P35" s="21"/>
      <c r="Q35" s="21"/>
      <c r="R35" s="21"/>
      <c r="S35" s="21"/>
      <c r="T35" s="21">
        <f>SUM(T34:Y34)</f>
        <v>10</v>
      </c>
      <c r="U35" s="21"/>
      <c r="V35" s="21"/>
      <c r="W35" s="21"/>
      <c r="X35" s="21"/>
      <c r="Y35" s="21"/>
      <c r="Z35" s="21">
        <f>SUM(Z34:AE34)</f>
        <v>20</v>
      </c>
      <c r="AA35" s="21"/>
      <c r="AB35" s="21"/>
      <c r="AC35" s="21"/>
      <c r="AD35" s="21"/>
      <c r="AE35" s="21"/>
    </row>
    <row r="36" spans="1:31" x14ac:dyDescent="0.2">
      <c r="A36" s="21" t="s">
        <v>33</v>
      </c>
      <c r="B36" s="21">
        <f>SUM(B16:B21)</f>
        <v>1</v>
      </c>
      <c r="C36" s="21">
        <f t="shared" ref="C36:G36" si="68">SUM(C16:C21)</f>
        <v>0</v>
      </c>
      <c r="D36" s="21">
        <f t="shared" si="68"/>
        <v>0</v>
      </c>
      <c r="E36" s="21">
        <f t="shared" si="68"/>
        <v>1</v>
      </c>
      <c r="F36" s="21">
        <f t="shared" si="68"/>
        <v>0</v>
      </c>
      <c r="G36" s="21">
        <f t="shared" si="68"/>
        <v>0</v>
      </c>
      <c r="H36" s="21">
        <f>SUM(H16:H21)</f>
        <v>1</v>
      </c>
      <c r="I36" s="21">
        <f t="shared" ref="I36:M36" si="69">SUM(I16:I21)</f>
        <v>0</v>
      </c>
      <c r="J36" s="21">
        <f t="shared" si="69"/>
        <v>1</v>
      </c>
      <c r="K36" s="21">
        <f t="shared" si="69"/>
        <v>0</v>
      </c>
      <c r="L36" s="21">
        <f t="shared" si="69"/>
        <v>0</v>
      </c>
      <c r="M36" s="21">
        <f t="shared" si="69"/>
        <v>0</v>
      </c>
      <c r="N36" s="21">
        <f>SUM(N16:N21)</f>
        <v>1</v>
      </c>
      <c r="O36" s="21">
        <f t="shared" ref="O36:S36" si="70">SUM(O16:O21)</f>
        <v>1</v>
      </c>
      <c r="P36" s="21">
        <f t="shared" si="70"/>
        <v>0</v>
      </c>
      <c r="Q36" s="21">
        <f t="shared" si="70"/>
        <v>0</v>
      </c>
      <c r="R36" s="21">
        <f t="shared" si="70"/>
        <v>0</v>
      </c>
      <c r="S36" s="21">
        <f t="shared" si="70"/>
        <v>0</v>
      </c>
      <c r="T36" s="21">
        <f>SUM(T16:T21)</f>
        <v>1</v>
      </c>
      <c r="U36" s="21">
        <f t="shared" ref="U36:Y36" si="71">SUM(U16:U21)</f>
        <v>0</v>
      </c>
      <c r="V36" s="21">
        <f t="shared" si="71"/>
        <v>0</v>
      </c>
      <c r="W36" s="21">
        <f t="shared" si="71"/>
        <v>0</v>
      </c>
      <c r="X36" s="21">
        <f t="shared" si="71"/>
        <v>0</v>
      </c>
      <c r="Y36" s="21">
        <f t="shared" si="71"/>
        <v>1</v>
      </c>
      <c r="Z36" s="21">
        <f>SUM(Z16:Z21)</f>
        <v>1</v>
      </c>
      <c r="AA36" s="21">
        <f t="shared" ref="AA36:AE36" si="72">SUM(AA16:AA21)</f>
        <v>0</v>
      </c>
      <c r="AB36" s="21">
        <f t="shared" si="72"/>
        <v>0</v>
      </c>
      <c r="AC36" s="21">
        <f t="shared" si="72"/>
        <v>0</v>
      </c>
      <c r="AD36" s="21">
        <f t="shared" si="72"/>
        <v>1</v>
      </c>
      <c r="AE36" s="21">
        <f t="shared" si="72"/>
        <v>0</v>
      </c>
    </row>
    <row r="37" spans="1:31" x14ac:dyDescent="0.2">
      <c r="A37" s="21"/>
      <c r="B37" s="21">
        <f>B36*B13</f>
        <v>0</v>
      </c>
      <c r="C37" s="21">
        <f t="shared" ref="C37:G37" si="73">C36*C13</f>
        <v>0</v>
      </c>
      <c r="D37" s="21">
        <f t="shared" si="73"/>
        <v>0</v>
      </c>
      <c r="E37" s="21">
        <f t="shared" si="73"/>
        <v>7.0000000000000007E-2</v>
      </c>
      <c r="F37" s="21">
        <f t="shared" si="73"/>
        <v>0</v>
      </c>
      <c r="G37" s="21">
        <f t="shared" si="73"/>
        <v>0</v>
      </c>
      <c r="H37" s="21">
        <f>H36*H13</f>
        <v>0</v>
      </c>
      <c r="I37" s="21">
        <f t="shared" ref="I37" si="74">I36*I13</f>
        <v>0</v>
      </c>
      <c r="J37" s="21">
        <f t="shared" ref="J37" si="75">J36*J13</f>
        <v>0.15</v>
      </c>
      <c r="K37" s="21">
        <f t="shared" ref="K37" si="76">K36*K13</f>
        <v>0</v>
      </c>
      <c r="L37" s="21">
        <f t="shared" ref="L37" si="77">L36*L13</f>
        <v>0</v>
      </c>
      <c r="M37" s="21">
        <f t="shared" ref="M37" si="78">M36*M13</f>
        <v>0</v>
      </c>
      <c r="N37" s="21">
        <f>N36*N13</f>
        <v>0</v>
      </c>
      <c r="O37" s="21">
        <f t="shared" ref="O37" si="79">O36*O13</f>
        <v>0.17</v>
      </c>
      <c r="P37" s="21">
        <f t="shared" ref="P37" si="80">P36*P13</f>
        <v>0</v>
      </c>
      <c r="Q37" s="21">
        <f t="shared" ref="Q37" si="81">Q36*Q13</f>
        <v>0</v>
      </c>
      <c r="R37" s="21">
        <f t="shared" ref="R37" si="82">R36*R13</f>
        <v>0</v>
      </c>
      <c r="S37" s="21">
        <f t="shared" ref="S37" si="83">S36*S13</f>
        <v>0</v>
      </c>
      <c r="T37" s="21">
        <f>T36*T13</f>
        <v>0</v>
      </c>
      <c r="U37" s="21">
        <f t="shared" ref="U37" si="84">U36*U13</f>
        <v>0</v>
      </c>
      <c r="V37" s="21">
        <f t="shared" ref="V37" si="85">V36*V13</f>
        <v>0</v>
      </c>
      <c r="W37" s="21">
        <f t="shared" ref="W37" si="86">W36*W13</f>
        <v>0</v>
      </c>
      <c r="X37" s="21">
        <f t="shared" ref="X37" si="87">X36*X13</f>
        <v>0</v>
      </c>
      <c r="Y37" s="21">
        <f t="shared" ref="Y37" si="88">Y36*Y13</f>
        <v>0.2</v>
      </c>
      <c r="Z37" s="21">
        <f>Z36*Z13</f>
        <v>0</v>
      </c>
      <c r="AA37" s="21">
        <f t="shared" ref="AA37" si="89">AA36*AA13</f>
        <v>0</v>
      </c>
      <c r="AB37" s="21">
        <f t="shared" ref="AB37" si="90">AB36*AB13</f>
        <v>0</v>
      </c>
      <c r="AC37" s="21">
        <f t="shared" ref="AC37" si="91">AC36*AC13</f>
        <v>0</v>
      </c>
      <c r="AD37" s="21">
        <f t="shared" ref="AD37" si="92">AD36*AD13</f>
        <v>0.17</v>
      </c>
      <c r="AE37" s="21">
        <f t="shared" ref="AE37" si="93">AE36*AE13</f>
        <v>0</v>
      </c>
    </row>
    <row r="38" spans="1:31" x14ac:dyDescent="0.2">
      <c r="A38" s="21"/>
      <c r="B38" s="21">
        <f>SUM(B37:G37)</f>
        <v>7.0000000000000007E-2</v>
      </c>
      <c r="C38" s="22"/>
      <c r="D38" s="22"/>
      <c r="E38" s="22"/>
      <c r="F38" s="22"/>
      <c r="G38" s="22"/>
      <c r="H38" s="21">
        <f>SUM(H37:M37)</f>
        <v>0.15</v>
      </c>
      <c r="I38" s="22"/>
      <c r="J38" s="22"/>
      <c r="K38" s="22"/>
      <c r="L38" s="22"/>
      <c r="M38" s="22"/>
      <c r="N38" s="21">
        <f>SUM(N37:S37)</f>
        <v>0.17</v>
      </c>
      <c r="O38" s="22"/>
      <c r="P38" s="22"/>
      <c r="Q38" s="22"/>
      <c r="R38" s="22"/>
      <c r="S38" s="22"/>
      <c r="T38" s="21">
        <f>SUM(T37:Y37)</f>
        <v>0.2</v>
      </c>
      <c r="U38" s="22"/>
      <c r="V38" s="22"/>
      <c r="W38" s="22"/>
      <c r="X38" s="22"/>
      <c r="Y38" s="22"/>
      <c r="Z38" s="21">
        <f>SUM(Z37:AE37)</f>
        <v>0.17</v>
      </c>
      <c r="AA38" s="22"/>
      <c r="AB38" s="22"/>
      <c r="AC38" s="22"/>
      <c r="AD38" s="22"/>
      <c r="AE38" s="22"/>
    </row>
    <row r="39" spans="1:31" x14ac:dyDescent="0.2">
      <c r="A39" s="21"/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AA39" s="22"/>
      <c r="AB39" s="22"/>
      <c r="AC39" s="22"/>
      <c r="AD39" s="22"/>
      <c r="AE39" s="22"/>
    </row>
    <row r="40" spans="1:31" x14ac:dyDescent="0.2">
      <c r="A40" s="21"/>
      <c r="B40" s="21"/>
      <c r="C40" s="22"/>
      <c r="D40" s="22"/>
      <c r="E40" s="22"/>
      <c r="F40" s="22"/>
      <c r="G40" s="22"/>
      <c r="H40" s="21"/>
      <c r="I40" s="22"/>
      <c r="J40" s="22"/>
      <c r="K40" s="22"/>
      <c r="L40" s="22"/>
      <c r="M40" s="22"/>
      <c r="N40" s="21"/>
      <c r="O40" s="22"/>
      <c r="P40" s="22"/>
      <c r="Q40" s="22"/>
      <c r="R40" s="22"/>
      <c r="S40" s="22"/>
      <c r="T40" s="21"/>
      <c r="U40" s="22"/>
      <c r="V40" s="22"/>
      <c r="W40" s="22"/>
      <c r="X40" s="22"/>
      <c r="Y40" s="22"/>
      <c r="Z40" s="21"/>
      <c r="AA40" s="22"/>
      <c r="AB40" s="22"/>
      <c r="AC40" s="22"/>
      <c r="AD40" s="22"/>
      <c r="AE40" s="22"/>
    </row>
    <row r="41" spans="1:31" x14ac:dyDescent="0.2">
      <c r="F41" t="s">
        <v>34</v>
      </c>
      <c r="G41" t="s">
        <v>35</v>
      </c>
    </row>
    <row r="42" spans="1:31" x14ac:dyDescent="0.2">
      <c r="F42" t="s">
        <v>36</v>
      </c>
      <c r="G42" t="s">
        <v>37</v>
      </c>
    </row>
    <row r="43" spans="1:31" x14ac:dyDescent="0.2">
      <c r="F43" t="s">
        <v>38</v>
      </c>
      <c r="G43" t="s">
        <v>39</v>
      </c>
    </row>
    <row r="44" spans="1:31" x14ac:dyDescent="0.2">
      <c r="F44" t="s">
        <v>40</v>
      </c>
      <c r="G44" t="s">
        <v>41</v>
      </c>
    </row>
    <row r="45" spans="1:31" x14ac:dyDescent="0.2">
      <c r="F45" t="s">
        <v>42</v>
      </c>
      <c r="G45" t="s">
        <v>43</v>
      </c>
    </row>
    <row r="46" spans="1:31" ht="29.25" x14ac:dyDescent="0.4">
      <c r="A46" s="10" t="s">
        <v>11</v>
      </c>
      <c r="B46" s="10">
        <f>SUMPRODUCT($B$3:$AE$8,B16:AE21)</f>
        <v>164</v>
      </c>
    </row>
  </sheetData>
  <mergeCells count="15">
    <mergeCell ref="AG14:AK14"/>
    <mergeCell ref="AL14:AP14"/>
    <mergeCell ref="AF31:AJ31"/>
    <mergeCell ref="A14:A15"/>
    <mergeCell ref="H14:M14"/>
    <mergeCell ref="N14:S14"/>
    <mergeCell ref="T14:Y14"/>
    <mergeCell ref="Z14:AE14"/>
    <mergeCell ref="B14:G14"/>
    <mergeCell ref="A1:A2"/>
    <mergeCell ref="H1:M1"/>
    <mergeCell ref="N1:S1"/>
    <mergeCell ref="T1:Y1"/>
    <mergeCell ref="Z1:AE1"/>
    <mergeCell ref="B1:G1"/>
  </mergeCells>
  <conditionalFormatting sqref="B16:AE21">
    <cfRule type="cellIs" dxfId="1" priority="1" operator="equal">
      <formula>1</formula>
    </cfRule>
    <cfRule type="cellIs" dxfId="0" priority="2" operator="equal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D57F-F844-41C8-A38C-3C23A02DAD59}">
  <dimension ref="A1"/>
  <sheetViews>
    <sheetView topLeftCell="A16" workbookViewId="0">
      <selection activeCell="O12" sqref="O12"/>
    </sheetView>
  </sheetViews>
  <sheetFormatPr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VRP</vt:lpstr>
      <vt:lpstr>Constraints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Triana Arifin</dc:creator>
  <cp:lastModifiedBy>Triana Arifin</cp:lastModifiedBy>
  <dcterms:created xsi:type="dcterms:W3CDTF">2024-01-06T11:16:36Z</dcterms:created>
  <dcterms:modified xsi:type="dcterms:W3CDTF">2024-01-09T16:03:50Z</dcterms:modified>
</cp:coreProperties>
</file>